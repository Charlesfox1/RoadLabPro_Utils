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WB411133\OneDrive - WBG\AAA_BPS\Code\Code\Github\RoadLabPro_Utils\PCS\"/>
    </mc:Choice>
  </mc:AlternateContent>
  <bookViews>
    <workbookView xWindow="0" yWindow="0" windowWidth="23040" windowHeight="9492" activeTab="5"/>
  </bookViews>
  <sheets>
    <sheet name="Input" sheetId="1" r:id="rId1"/>
    <sheet name="DASH_MIRROR" sheetId="3" r:id="rId2"/>
    <sheet name="ROUGHNESS" sheetId="5" r:id="rId3"/>
    <sheet name="HAZARD" sheetId="4" r:id="rId4"/>
    <sheet name="POV" sheetId="7" r:id="rId5"/>
    <sheet name="CRITICALITY" sheetId="6" r:id="rId6"/>
    <sheet name="Ref" sheetId="2" state="hidden" r:id="rId7"/>
  </sheet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6" l="1"/>
  <c r="Q3" i="6"/>
  <c r="R3" i="6"/>
  <c r="P4" i="6"/>
  <c r="Q4" i="6"/>
  <c r="R4" i="6"/>
  <c r="P5" i="6"/>
  <c r="Q5" i="6"/>
  <c r="R5" i="6"/>
  <c r="P6" i="6"/>
  <c r="Q6" i="6"/>
  <c r="R6" i="6"/>
  <c r="P7" i="6"/>
  <c r="Q7" i="6"/>
  <c r="R7" i="6"/>
  <c r="Q2" i="6"/>
  <c r="R2" i="6"/>
  <c r="P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J3" i="6"/>
  <c r="J4" i="6"/>
  <c r="J2" i="6"/>
  <c r="O2" i="6" l="1"/>
  <c r="N2" i="6"/>
  <c r="M2" i="6"/>
  <c r="L2" i="6"/>
  <c r="F3" i="6"/>
  <c r="G3" i="6"/>
  <c r="H3" i="6"/>
  <c r="I3" i="6"/>
  <c r="F4" i="6"/>
  <c r="G4" i="6"/>
  <c r="H4" i="6"/>
  <c r="I4" i="6"/>
  <c r="G2" i="6"/>
  <c r="H2" i="6"/>
  <c r="I2" i="6"/>
  <c r="F2" i="6"/>
  <c r="B3" i="6"/>
  <c r="C3" i="6"/>
  <c r="D3" i="6"/>
  <c r="B4" i="6"/>
  <c r="C4" i="6"/>
  <c r="D4" i="6"/>
  <c r="C2" i="6"/>
  <c r="D2" i="6"/>
  <c r="B2" i="6"/>
  <c r="K77" i="1" l="1"/>
  <c r="K76" i="1"/>
  <c r="K75" i="1"/>
  <c r="K74" i="1"/>
  <c r="M71" i="1"/>
  <c r="K71" i="1" s="1"/>
  <c r="D88" i="1"/>
  <c r="D94" i="1"/>
  <c r="F20" i="4"/>
  <c r="G20" i="4"/>
  <c r="H20" i="4"/>
  <c r="D58"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8" i="1" l="1"/>
  <c r="D23" i="1" l="1"/>
  <c r="C23" i="1" s="1"/>
  <c r="B3" i="3"/>
  <c r="B4" i="3"/>
  <c r="B5" i="3"/>
  <c r="B6" i="3"/>
  <c r="B2" i="3"/>
  <c r="M18" i="1"/>
  <c r="L19" i="1" s="1"/>
</calcChain>
</file>

<file path=xl/comments1.xml><?xml version="1.0" encoding="utf-8"?>
<comments xmlns="http://schemas.openxmlformats.org/spreadsheetml/2006/main">
  <authors>
    <author>Charles Fox</author>
  </authors>
  <commentList>
    <comment ref="F39" authorId="0" shapeId="0">
      <text>
        <r>
          <rPr>
            <b/>
            <sz val="9"/>
            <color indexed="81"/>
            <rFont val="Tahoma"/>
            <family val="2"/>
          </rPr>
          <t>Charles Fox:</t>
        </r>
        <r>
          <rPr>
            <sz val="9"/>
            <color indexed="81"/>
            <rFont val="Tahoma"/>
            <family val="2"/>
          </rPr>
          <t xml:space="preserve">
Value is wind speed in metres per second</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50"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69"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69"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69"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69"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69"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85" authorId="0" shapeId="0">
      <text>
        <r>
          <rPr>
            <b/>
            <sz val="9"/>
            <color indexed="81"/>
            <rFont val="Tahoma"/>
            <family val="2"/>
          </rPr>
          <t>Charles Fox:</t>
        </r>
        <r>
          <rPr>
            <sz val="9"/>
            <color indexed="81"/>
            <rFont val="Tahoma"/>
            <family val="2"/>
          </rPr>
          <t xml:space="preserve">
factor contributing to per km cost of driving along the road</t>
        </r>
      </text>
    </comment>
    <comment ref="C92"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93"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sharedStrings.xml><?xml version="1.0" encoding="utf-8"?>
<sst xmlns="http://schemas.openxmlformats.org/spreadsheetml/2006/main" count="348" uniqueCount="263">
  <si>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</si>
  <si>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</si>
  <si>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</si>
  <si>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</si>
  <si>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</si>
  <si>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</si>
  <si>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</si>
  <si>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</si>
  <si>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</si>
  <si>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</si>
  <si>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</si>
  <si>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</si>
  <si>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</si>
  <si>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</si>
  <si>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</si>
  <si>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</si>
  <si>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</si>
  <si>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</si>
  <si>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</si>
  <si>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</si>
  <si>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</si>
  <si>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</si>
  <si>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</si>
  <si>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</si>
  <si>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</si>
  <si>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</si>
  <si>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</si>
  <si>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</si>
  <si>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</si>
  <si>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</si>
  <si>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</si>
  <si>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</si>
  <si>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</si>
  <si>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</si>
  <si>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</si>
  <si>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</si>
  <si>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</si>
  <si>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</si>
  <si>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</si>
  <si>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</si>
  <si>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</si>
  <si>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</si>
  <si>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</si>
  <si>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</si>
  <si>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</si>
  <si>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</si>
  <si>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</si>
  <si>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</si>
  <si>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</si>
  <si>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</si>
  <si>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</si>
  <si>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</si>
  <si>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</si>
  <si>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</si>
  <si>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</si>
  <si>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</si>
  <si>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</si>
  <si>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</si>
  <si>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</si>
  <si>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</si>
  <si>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</si>
  <si>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</si>
  <si>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</si>
  <si>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</si>
  <si>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</si>
  <si>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</si>
  <si>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</si>
  <si>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</si>
  <si>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</si>
  <si>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</si>
  <si>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</si>
  <si>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</si>
  <si>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</si>
  <si>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</si>
  <si>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</si>
  <si>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</si>
  <si>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</si>
  <si>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</si>
  <si>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</si>
  <si>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</si>
  <si>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</si>
  <si>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</si>
  <si>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</si>
  <si>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</si>
  <si>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</si>
  <si>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</si>
  <si>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</si>
  <si>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</si>
  <si>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</si>
  <si>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</si>
  <si>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</si>
  <si>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</si>
  <si>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</si>
  <si>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</si>
  <si>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</si>
  <si>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</si>
  <si>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</si>
  <si>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</si>
  <si>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</si>
  <si>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</si>
  <si>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</si>
  <si>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</si>
  <si>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</si>
  <si>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</si>
  <si>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</si>
  <si>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</si>
  <si>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</si>
  <si>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</si>
  <si>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</si>
  <si>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</si>
  <si>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</si>
  <si>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</si>
  <si>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</si>
  <si>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</si>
  <si>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</si>
  <si>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</si>
  <si>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</si>
  <si>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</si>
  <si>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</si>
  <si>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</si>
  <si>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</si>
  <si>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</si>
  <si>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</si>
  <si>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</si>
  <si>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</si>
  <si>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</si>
  <si>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</si>
  <si>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</si>
  <si>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</si>
  <si>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</si>
  <si>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</si>
  <si>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</si>
  <si>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</si>
  <si>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</si>
  <si>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</si>
  <si>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</si>
  <si>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</si>
  <si>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</si>
  <si>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</si>
  <si>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</si>
  <si>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</si>
  <si>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</si>
  <si>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</si>
  <si>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</si>
  <si>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</si>
  <si>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</si>
  <si>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</si>
  <si>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</si>
  <si>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</si>
  <si>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</si>
  <si>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</si>
  <si>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</si>
  <si>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</si>
  <si>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</si>
  <si>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</si>
  <si>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</si>
  <si>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</si>
  <si>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</si>
  <si>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Destinations</t>
  </si>
  <si>
    <t>Name</t>
  </si>
  <si>
    <t>Scalar Column</t>
  </si>
  <si>
    <t>Penalty</t>
  </si>
  <si>
    <t>Annual Trips</t>
  </si>
  <si>
    <t>adm_centroids</t>
  </si>
  <si>
    <t>Pop</t>
  </si>
  <si>
    <t>Beds</t>
  </si>
  <si>
    <t>Hosptials</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</si>
  <si>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</si>
  <si>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</si>
  <si>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</si>
  <si>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</si>
  <si>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</si>
  <si>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</si>
  <si>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</si>
  <si>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</si>
  <si>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</si>
  <si>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</si>
  <si>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</si>
  <si>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</si>
  <si>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</si>
  <si>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</si>
  <si>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</si>
  <si>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</si>
  <si>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</si>
  <si>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</si>
  <si>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</si>
  <si>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</si>
  <si>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</si>
  <si>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</si>
  <si>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</si>
  <si>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</si>
  <si>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</si>
  <si>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</si>
  <si>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</si>
  <si>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</si>
  <si>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</si>
  <si>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</si>
  <si>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</si>
  <si>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</si>
  <si>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OPenalty</t>
  </si>
  <si>
    <t>DName</t>
  </si>
  <si>
    <t>DPenalty</t>
  </si>
  <si>
    <t>OPath</t>
  </si>
  <si>
    <t>OScalar</t>
  </si>
  <si>
    <t>Isolate_Weight</t>
  </si>
  <si>
    <t>COL_ID</t>
  </si>
  <si>
    <t>DPath</t>
  </si>
  <si>
    <t>DScalar</t>
  </si>
  <si>
    <t>DImportance</t>
  </si>
  <si>
    <t>DAnnual</t>
  </si>
  <si>
    <t>Distance Importance</t>
  </si>
  <si>
    <t>Weight</t>
  </si>
  <si>
    <t>Component</t>
  </si>
  <si>
    <t>Combinations</t>
  </si>
  <si>
    <t>Combination number</t>
  </si>
  <si>
    <t>Origin</t>
  </si>
  <si>
    <t>Destination</t>
  </si>
  <si>
    <t>ComboNumber</t>
  </si>
  <si>
    <t>ComboO</t>
  </si>
  <si>
    <t>ComboD</t>
  </si>
  <si>
    <t xml:space="preserve">District Code: </t>
  </si>
  <si>
    <t>YD</t>
  </si>
  <si>
    <t>Python Location:</t>
  </si>
  <si>
    <t>Typhoon\\TY_100.tif</t>
  </si>
  <si>
    <t>Typhoon\\TY_200.tif</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</si>
  <si>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</si>
  <si>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</si>
  <si>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</si>
  <si>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</si>
  <si>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</si>
  <si>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</si>
  <si>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</si>
  <si>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</si>
  <si>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</si>
  <si>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</si>
  <si>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</si>
  <si>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</si>
  <si>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</si>
  <si>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</si>
  <si>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</si>
  <si>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</si>
  <si>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</si>
  <si>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</si>
  <si>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</si>
  <si>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</si>
  <si>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</si>
  <si>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</si>
  <si>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</si>
  <si>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</si>
  <si>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</si>
  <si>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</si>
  <si>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</si>
  <si>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</si>
  <si>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</si>
  <si>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</si>
  <si>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</si>
  <si>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</si>
  <si>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</si>
  <si>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</si>
  <si>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</si>
  <si>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C:\Users\WB411133\AppData\Local\conda\conda\envs\Geography27\Python.exe</t>
  </si>
  <si>
    <t>C:\Users\WB411133\OneDrive - WBG\AAA_BPS\Code\Code\Github\RoadLabPro_Utils\PCS\Criticality\runtime\YD\adm_centroids.shp</t>
  </si>
  <si>
    <t>C:\Users\WB411133\OneDrive - WBG\AAA_BPS\Code\Code\Github\RoadLabPro_Utils\PCS\Criticality\input\YD\Hospitals.shp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</si>
</sst>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2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sz val="11"/>
      <color rgb="FF002060"/>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
      <b/>
      <sz val="11"/>
      <color theme="1"/>
      <name val="Calibri"/>
      <family val="2"/>
      <scheme val="minor"/>
    </font>
    <font>
      <sz val="11"/>
      <color theme="1"/>
      <name val="Calibri"/>
      <family val="2"/>
      <scheme val="minor"/>
    </font>
  </fonts>
  <fills count="19">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s>
  <borders count="77">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rgb="FFFF2929"/>
      </left>
      <right/>
      <top/>
      <bottom style="thin">
        <color rgb="FFFF2929"/>
      </bottom>
      <diagonal/>
    </border>
    <border>
      <left/>
      <right/>
      <top/>
      <bottom style="thin">
        <color rgb="FFFF2929"/>
      </bottom>
      <diagonal/>
    </border>
    <border>
      <left/>
      <right style="thin">
        <color rgb="FFFF2929"/>
      </right>
      <top/>
      <bottom style="thin">
        <color rgb="FFFF2929"/>
      </bottom>
      <diagonal/>
    </border>
    <border>
      <left style="dashed">
        <color rgb="FF002060"/>
      </left>
      <right style="dashed">
        <color rgb="FF002060"/>
      </right>
      <top style="dashed">
        <color rgb="FF002060"/>
      </top>
      <bottom style="dashed">
        <color rgb="FF002060"/>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s>
  <cellStyleXfs count="2">
    <xf numFmtId="0" fontId="0" fillId="0" borderId="0"/>
    <xf numFmtId="9" fontId="5" fillId="0" borderId="0" applyFont="0" applyFill="0" applyBorder="0" applyAlignment="0" applyProtection="0"/>
  </cellStyleXfs>
  <cellXfs count="153">
    <xf numFmtId="0" fontId="0" fillId="0" borderId="0" xfId="0"/>
    <xf numFmtId="0" fontId="1" fillId="0" borderId="0" xfId="0" applyFont="1"/>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0" fontId="6" fillId="2" borderId="52" xfId="0" applyFont="1" applyFill="1" applyBorder="1"/>
    <xf numFmtId="9" fontId="4" fillId="18" borderId="0" xfId="1" applyFont="1" applyFill="1"/>
    <xf numFmtId="1" fontId="0" fillId="0" borderId="0" xfId="0" applyNumberFormat="1"/>
    <xf numFmtId="0" fontId="7" fillId="0" borderId="0" xfId="0" applyFont="1"/>
    <xf numFmtId="0" fontId="8" fillId="0" borderId="0" xfId="0" applyFont="1"/>
    <xf numFmtId="0" fontId="8" fillId="0" borderId="0" xfId="0" quotePrefix="1" applyFont="1"/>
    <xf numFmtId="0" fontId="9" fillId="2" borderId="33" xfId="0" applyFont="1" applyFill="1" applyBorder="1" applyAlignment="1">
      <alignment horizontal="left"/>
    </xf>
    <xf numFmtId="9" fontId="8" fillId="0" borderId="0" xfId="0" applyNumberFormat="1" applyFont="1" applyAlignment="1">
      <alignment horizontal="right"/>
    </xf>
    <xf numFmtId="0" fontId="8" fillId="0" borderId="0" xfId="0" applyFont="1" applyAlignment="1">
      <alignment horizontal="right"/>
    </xf>
    <xf numFmtId="0" fontId="0" fillId="0" borderId="0" xfId="0" applyAlignment="1">
      <alignment horizontal="left"/>
    </xf>
    <xf numFmtId="0" fontId="10" fillId="0" borderId="0" xfId="0" applyFont="1"/>
    <xf numFmtId="0" fontId="11" fillId="0" borderId="0" xfId="0" applyFont="1"/>
    <xf numFmtId="9" fontId="11" fillId="0" borderId="0" xfId="0" applyNumberFormat="1" applyFont="1"/>
    <xf numFmtId="0" fontId="13" fillId="5" borderId="0" xfId="0" applyFont="1" applyFill="1"/>
    <xf numFmtId="0" fontId="14" fillId="5" borderId="0" xfId="0" applyFont="1" applyFill="1"/>
    <xf numFmtId="0" fontId="15" fillId="0" borderId="0" xfId="0" applyFont="1"/>
    <xf numFmtId="0" fontId="15" fillId="0" borderId="53" xfId="0" applyFont="1" applyBorder="1"/>
    <xf numFmtId="0" fontId="15" fillId="0" borderId="54" xfId="0" applyFont="1" applyBorder="1"/>
    <xf numFmtId="9" fontId="16" fillId="2" borderId="55" xfId="0" applyNumberFormat="1" applyFont="1" applyFill="1" applyBorder="1" applyAlignment="1">
      <alignment horizontal="center"/>
    </xf>
    <xf numFmtId="9" fontId="16" fillId="2" borderId="55" xfId="0" applyNumberFormat="1" applyFont="1" applyFill="1" applyBorder="1" applyAlignment="1">
      <alignment horizontal="left"/>
    </xf>
    <xf numFmtId="0" fontId="17" fillId="4" borderId="25" xfId="0" applyFont="1" applyFill="1" applyBorder="1" applyAlignment="1">
      <alignment horizontal="centerContinuous"/>
    </xf>
    <xf numFmtId="0" fontId="17" fillId="4" borderId="26" xfId="0" applyFont="1" applyFill="1" applyBorder="1" applyAlignment="1">
      <alignment horizontal="centerContinuous"/>
    </xf>
    <xf numFmtId="0" fontId="15" fillId="4" borderId="26" xfId="0" applyFont="1" applyFill="1" applyBorder="1" applyAlignment="1">
      <alignment horizontal="centerContinuous"/>
    </xf>
    <xf numFmtId="0" fontId="15" fillId="4" borderId="27" xfId="0" applyFont="1" applyFill="1" applyBorder="1" applyAlignment="1">
      <alignment horizontal="centerContinuous"/>
    </xf>
    <xf numFmtId="0" fontId="17" fillId="8" borderId="14" xfId="0" applyFont="1" applyFill="1" applyBorder="1" applyAlignment="1">
      <alignment horizontal="centerContinuous"/>
    </xf>
    <xf numFmtId="0" fontId="18" fillId="8" borderId="15" xfId="0" applyFont="1" applyFill="1" applyBorder="1" applyAlignment="1">
      <alignment horizontal="centerContinuous"/>
    </xf>
    <xf numFmtId="0" fontId="18" fillId="8" borderId="16" xfId="0" applyFont="1" applyFill="1" applyBorder="1" applyAlignment="1">
      <alignment horizontal="centerContinuous"/>
    </xf>
    <xf numFmtId="0" fontId="15" fillId="3" borderId="28" xfId="0" applyFont="1" applyFill="1" applyBorder="1"/>
    <xf numFmtId="0" fontId="15" fillId="3" borderId="0" xfId="0" applyFont="1" applyFill="1" applyBorder="1"/>
    <xf numFmtId="0" fontId="15" fillId="3" borderId="29" xfId="0" applyFont="1" applyFill="1" applyBorder="1"/>
    <xf numFmtId="0" fontId="15" fillId="0" borderId="17" xfId="0" applyFont="1" applyBorder="1"/>
    <xf numFmtId="0" fontId="15" fillId="0" borderId="0" xfId="0" applyFont="1" applyBorder="1"/>
    <xf numFmtId="0" fontId="15" fillId="0" borderId="18" xfId="0" applyFont="1" applyBorder="1"/>
    <xf numFmtId="0" fontId="19" fillId="3" borderId="0" xfId="0" applyFont="1" applyFill="1" applyBorder="1"/>
    <xf numFmtId="0" fontId="20" fillId="3" borderId="0" xfId="0" applyFont="1" applyFill="1" applyBorder="1"/>
    <xf numFmtId="0" fontId="21" fillId="0" borderId="0" xfId="0" applyFont="1"/>
    <xf numFmtId="0" fontId="18" fillId="4" borderId="2" xfId="0" applyFont="1" applyFill="1" applyBorder="1"/>
    <xf numFmtId="0" fontId="18" fillId="4" borderId="3" xfId="0" applyFont="1" applyFill="1" applyBorder="1" applyAlignment="1">
      <alignment horizontal="center"/>
    </xf>
    <xf numFmtId="0" fontId="18" fillId="8" borderId="22" xfId="0" applyFont="1" applyFill="1" applyBorder="1"/>
    <xf numFmtId="0" fontId="18" fillId="8" borderId="23" xfId="0" applyFont="1" applyFill="1" applyBorder="1" applyAlignment="1">
      <alignment horizontal="center"/>
    </xf>
    <xf numFmtId="0" fontId="16" fillId="2" borderId="5" xfId="0" applyFont="1" applyFill="1" applyBorder="1"/>
    <xf numFmtId="9" fontId="16" fillId="2" borderId="1" xfId="0" applyNumberFormat="1" applyFont="1" applyFill="1" applyBorder="1" applyAlignment="1">
      <alignment horizontal="center"/>
    </xf>
    <xf numFmtId="0" fontId="22" fillId="0" borderId="0" xfId="0" applyFont="1" applyBorder="1"/>
    <xf numFmtId="9" fontId="16" fillId="2" borderId="24" xfId="0" applyNumberFormat="1" applyFont="1" applyFill="1" applyBorder="1" applyAlignment="1">
      <alignment horizontal="center"/>
    </xf>
    <xf numFmtId="0" fontId="15" fillId="0" borderId="19" xfId="0" applyFont="1" applyBorder="1"/>
    <xf numFmtId="0" fontId="15" fillId="8" borderId="20" xfId="0" applyFont="1" applyFill="1" applyBorder="1"/>
    <xf numFmtId="9" fontId="18" fillId="8" borderId="23" xfId="0" applyNumberFormat="1" applyFont="1" applyFill="1" applyBorder="1" applyAlignment="1">
      <alignment horizontal="center"/>
    </xf>
    <xf numFmtId="0" fontId="15" fillId="3" borderId="56" xfId="0" applyFont="1" applyFill="1" applyBorder="1"/>
    <xf numFmtId="0" fontId="15" fillId="3" borderId="57" xfId="0" applyFont="1" applyFill="1" applyBorder="1"/>
    <xf numFmtId="0" fontId="15" fillId="0" borderId="0" xfId="0" applyFont="1" applyFill="1" applyBorder="1"/>
    <xf numFmtId="0" fontId="23" fillId="0" borderId="0" xfId="0" applyFont="1" applyBorder="1" applyAlignment="1">
      <alignment horizontal="right"/>
    </xf>
    <xf numFmtId="0" fontId="15" fillId="3" borderId="58" xfId="0" applyFont="1" applyFill="1" applyBorder="1"/>
    <xf numFmtId="0" fontId="15" fillId="3" borderId="59" xfId="0" applyFont="1" applyFill="1" applyBorder="1"/>
    <xf numFmtId="0" fontId="16" fillId="2" borderId="7" xfId="0" applyFont="1" applyFill="1" applyBorder="1"/>
    <xf numFmtId="9" fontId="16" fillId="2" borderId="8" xfId="0" applyNumberFormat="1" applyFont="1" applyFill="1" applyBorder="1" applyAlignment="1">
      <alignment horizontal="center"/>
    </xf>
    <xf numFmtId="0" fontId="15" fillId="3" borderId="60" xfId="0" applyFont="1" applyFill="1" applyBorder="1"/>
    <xf numFmtId="0" fontId="15" fillId="3" borderId="61" xfId="0" applyFont="1" applyFill="1" applyBorder="1"/>
    <xf numFmtId="0" fontId="15" fillId="3" borderId="30" xfId="0" applyFont="1" applyFill="1" applyBorder="1"/>
    <xf numFmtId="0" fontId="23" fillId="3" borderId="31" xfId="0" applyFont="1" applyFill="1" applyBorder="1" applyAlignment="1">
      <alignment horizontal="right"/>
    </xf>
    <xf numFmtId="9" fontId="22" fillId="3" borderId="31" xfId="0" applyNumberFormat="1" applyFont="1" applyFill="1" applyBorder="1" applyAlignment="1">
      <alignment horizontal="center"/>
    </xf>
    <xf numFmtId="0" fontId="15" fillId="3" borderId="31" xfId="0" applyFont="1" applyFill="1" applyBorder="1"/>
    <xf numFmtId="0" fontId="15" fillId="3" borderId="32" xfId="0" applyFont="1" applyFill="1" applyBorder="1"/>
    <xf numFmtId="0" fontId="17" fillId="7" borderId="2" xfId="0" applyFont="1" applyFill="1" applyBorder="1" applyAlignment="1">
      <alignment horizontal="centerContinuous"/>
    </xf>
    <xf numFmtId="0" fontId="17" fillId="7" borderId="3" xfId="0" applyFont="1" applyFill="1" applyBorder="1" applyAlignment="1">
      <alignment horizontal="centerContinuous"/>
    </xf>
    <xf numFmtId="0" fontId="15" fillId="7" borderId="3" xfId="0" applyFont="1" applyFill="1" applyBorder="1" applyAlignment="1">
      <alignment horizontal="centerContinuous"/>
    </xf>
    <xf numFmtId="0" fontId="15" fillId="7" borderId="4" xfId="0" applyFont="1" applyFill="1" applyBorder="1" applyAlignment="1">
      <alignment horizontal="centerContinuous"/>
    </xf>
    <xf numFmtId="0" fontId="15" fillId="6" borderId="9" xfId="0" applyFont="1" applyFill="1" applyBorder="1"/>
    <xf numFmtId="0" fontId="15" fillId="6" borderId="0" xfId="0" applyFont="1" applyFill="1" applyBorder="1"/>
    <xf numFmtId="0" fontId="15" fillId="6" borderId="10" xfId="0" applyFont="1" applyFill="1" applyBorder="1"/>
    <xf numFmtId="0" fontId="18" fillId="7" borderId="0" xfId="0" applyFont="1" applyFill="1" applyBorder="1"/>
    <xf numFmtId="0" fontId="18" fillId="7" borderId="0" xfId="0" applyFont="1" applyFill="1" applyBorder="1" applyAlignment="1">
      <alignment horizontal="center"/>
    </xf>
    <xf numFmtId="164" fontId="16" fillId="2" borderId="6" xfId="0" applyNumberFormat="1" applyFont="1" applyFill="1" applyBorder="1" applyAlignment="1">
      <alignment horizontal="center"/>
    </xf>
    <xf numFmtId="165" fontId="16" fillId="2" borderId="6" xfId="0" applyNumberFormat="1" applyFont="1" applyFill="1" applyBorder="1" applyAlignment="1">
      <alignment horizontal="center"/>
    </xf>
    <xf numFmtId="166" fontId="16" fillId="2" borderId="6" xfId="0" applyNumberFormat="1" applyFont="1" applyFill="1" applyBorder="1"/>
    <xf numFmtId="9" fontId="24" fillId="9" borderId="1" xfId="0" applyNumberFormat="1" applyFont="1" applyFill="1" applyBorder="1" applyAlignment="1">
      <alignment horizontal="center"/>
    </xf>
    <xf numFmtId="9" fontId="24" fillId="9" borderId="62" xfId="0" applyNumberFormat="1" applyFont="1" applyFill="1" applyBorder="1" applyAlignment="1">
      <alignment horizontal="center"/>
    </xf>
    <xf numFmtId="0" fontId="15" fillId="6" borderId="63" xfId="0" applyFont="1" applyFill="1" applyBorder="1"/>
    <xf numFmtId="0" fontId="15" fillId="6" borderId="64" xfId="0" applyFont="1" applyFill="1" applyBorder="1"/>
    <xf numFmtId="0" fontId="15" fillId="0" borderId="14" xfId="0" applyFont="1" applyBorder="1"/>
    <xf numFmtId="0" fontId="15" fillId="0" borderId="16" xfId="0" applyFont="1" applyBorder="1"/>
    <xf numFmtId="0" fontId="15" fillId="6" borderId="11" xfId="0" applyFont="1" applyFill="1" applyBorder="1"/>
    <xf numFmtId="0" fontId="15" fillId="6" borderId="13" xfId="0" applyFont="1" applyFill="1" applyBorder="1"/>
    <xf numFmtId="0" fontId="15" fillId="0" borderId="21" xfId="0" applyFont="1" applyBorder="1"/>
    <xf numFmtId="0" fontId="23" fillId="6" borderId="34" xfId="0" applyFont="1" applyFill="1" applyBorder="1" applyAlignment="1">
      <alignment horizontal="right"/>
    </xf>
    <xf numFmtId="9" fontId="22" fillId="6" borderId="12" xfId="0" applyNumberFormat="1" applyFont="1" applyFill="1" applyBorder="1" applyAlignment="1">
      <alignment horizontal="center"/>
    </xf>
    <xf numFmtId="0" fontId="15" fillId="6" borderId="12" xfId="0" applyFont="1" applyFill="1" applyBorder="1"/>
    <xf numFmtId="0" fontId="15" fillId="0" borderId="20" xfId="0" applyFont="1" applyBorder="1"/>
    <xf numFmtId="0" fontId="17" fillId="11" borderId="2" xfId="0" applyFont="1" applyFill="1" applyBorder="1" applyAlignment="1">
      <alignment horizontal="centerContinuous"/>
    </xf>
    <xf numFmtId="0" fontId="17" fillId="11" borderId="3" xfId="0" applyFont="1" applyFill="1" applyBorder="1" applyAlignment="1">
      <alignment horizontal="centerContinuous"/>
    </xf>
    <xf numFmtId="0" fontId="15" fillId="11" borderId="3" xfId="0" applyFont="1" applyFill="1" applyBorder="1" applyAlignment="1">
      <alignment horizontal="centerContinuous"/>
    </xf>
    <xf numFmtId="0" fontId="15" fillId="11" borderId="4" xfId="0" applyFont="1" applyFill="1" applyBorder="1" applyAlignment="1">
      <alignment horizontal="centerContinuous"/>
    </xf>
    <xf numFmtId="0" fontId="17" fillId="13" borderId="44" xfId="0" applyFont="1" applyFill="1" applyBorder="1" applyAlignment="1">
      <alignment horizontal="centerContinuous"/>
    </xf>
    <xf numFmtId="0" fontId="18" fillId="13" borderId="45" xfId="0" applyFont="1" applyFill="1" applyBorder="1" applyAlignment="1">
      <alignment horizontal="centerContinuous"/>
    </xf>
    <xf numFmtId="0" fontId="18" fillId="13" borderId="46" xfId="0" applyFont="1" applyFill="1" applyBorder="1" applyAlignment="1">
      <alignment horizontal="centerContinuous"/>
    </xf>
    <xf numFmtId="0" fontId="15" fillId="0" borderId="35" xfId="0" applyFont="1" applyBorder="1"/>
    <xf numFmtId="0" fontId="15" fillId="0" borderId="36" xfId="0" applyFont="1" applyBorder="1"/>
    <xf numFmtId="0" fontId="15" fillId="14" borderId="47" xfId="0" applyFont="1" applyFill="1" applyBorder="1"/>
    <xf numFmtId="0" fontId="15" fillId="14" borderId="0" xfId="0" applyFont="1" applyFill="1" applyBorder="1"/>
    <xf numFmtId="0" fontId="15" fillId="14" borderId="48" xfId="0" applyFont="1" applyFill="1" applyBorder="1"/>
    <xf numFmtId="0" fontId="25" fillId="12" borderId="0" xfId="0" applyFont="1" applyFill="1" applyBorder="1" applyAlignment="1">
      <alignment horizontal="left"/>
    </xf>
    <xf numFmtId="0" fontId="18" fillId="12" borderId="0" xfId="0" applyFont="1" applyFill="1" applyBorder="1" applyAlignment="1">
      <alignment horizontal="centerContinuous"/>
    </xf>
    <xf numFmtId="0" fontId="18" fillId="11" borderId="0" xfId="0" applyFont="1" applyFill="1" applyBorder="1"/>
    <xf numFmtId="0" fontId="18" fillId="11" borderId="0" xfId="0" applyFont="1" applyFill="1" applyBorder="1" applyAlignment="1">
      <alignment horizontal="center"/>
    </xf>
    <xf numFmtId="0" fontId="18" fillId="13" borderId="0" xfId="0" applyFont="1" applyFill="1" applyBorder="1" applyAlignment="1">
      <alignment horizontal="center"/>
    </xf>
    <xf numFmtId="0" fontId="18" fillId="13" borderId="0" xfId="0" applyFont="1" applyFill="1" applyAlignment="1">
      <alignment horizontal="center"/>
    </xf>
    <xf numFmtId="1" fontId="15" fillId="0" borderId="0" xfId="0" applyNumberFormat="1" applyFont="1" applyBorder="1"/>
    <xf numFmtId="1" fontId="16" fillId="2" borderId="1" xfId="0" applyNumberFormat="1" applyFont="1" applyFill="1" applyBorder="1" applyAlignment="1">
      <alignment horizontal="left"/>
    </xf>
    <xf numFmtId="1" fontId="16" fillId="2" borderId="1" xfId="0" applyNumberFormat="1" applyFont="1" applyFill="1" applyBorder="1" applyAlignment="1">
      <alignment horizontal="center"/>
    </xf>
    <xf numFmtId="167" fontId="16" fillId="2" borderId="1" xfId="0" applyNumberFormat="1" applyFont="1" applyFill="1" applyBorder="1" applyAlignment="1">
      <alignment horizontal="center"/>
    </xf>
    <xf numFmtId="0" fontId="23" fillId="14" borderId="0" xfId="0" applyFont="1" applyFill="1" applyBorder="1" applyAlignment="1">
      <alignment horizontal="left"/>
    </xf>
    <xf numFmtId="9" fontId="22" fillId="14" borderId="0" xfId="0" applyNumberFormat="1" applyFont="1" applyFill="1" applyBorder="1" applyAlignment="1">
      <alignment horizontal="center"/>
    </xf>
    <xf numFmtId="9" fontId="21" fillId="14" borderId="0" xfId="0" applyNumberFormat="1" applyFont="1" applyFill="1" applyBorder="1"/>
    <xf numFmtId="0" fontId="21" fillId="14" borderId="0" xfId="0" applyFont="1" applyFill="1" applyBorder="1"/>
    <xf numFmtId="0" fontId="16" fillId="2" borderId="5" xfId="0" applyFont="1" applyFill="1" applyBorder="1" applyAlignment="1">
      <alignment horizontal="left"/>
    </xf>
    <xf numFmtId="1" fontId="21" fillId="0" borderId="0" xfId="0" applyNumberFormat="1" applyFont="1" applyBorder="1"/>
    <xf numFmtId="2" fontId="16" fillId="2" borderId="40" xfId="0" applyNumberFormat="1" applyFont="1" applyFill="1" applyBorder="1" applyAlignment="1">
      <alignment horizontal="center"/>
    </xf>
    <xf numFmtId="0" fontId="15" fillId="9" borderId="41" xfId="0" applyFont="1" applyFill="1" applyBorder="1"/>
    <xf numFmtId="0" fontId="15" fillId="9" borderId="42" xfId="0" applyFont="1" applyFill="1" applyBorder="1"/>
    <xf numFmtId="1" fontId="15" fillId="9" borderId="43" xfId="0" applyNumberFormat="1" applyFont="1" applyFill="1" applyBorder="1"/>
    <xf numFmtId="0" fontId="21" fillId="0" borderId="0" xfId="0" applyFont="1" applyBorder="1"/>
    <xf numFmtId="1" fontId="15" fillId="0" borderId="65" xfId="0" applyNumberFormat="1" applyFont="1" applyBorder="1"/>
    <xf numFmtId="1" fontId="15" fillId="0" borderId="66" xfId="0" applyNumberFormat="1" applyFont="1" applyBorder="1"/>
    <xf numFmtId="0" fontId="15" fillId="14" borderId="71" xfId="0" applyFont="1" applyFill="1" applyBorder="1"/>
    <xf numFmtId="0" fontId="15" fillId="14" borderId="72" xfId="0" applyFont="1" applyFill="1" applyBorder="1"/>
    <xf numFmtId="1" fontId="15" fillId="0" borderId="67" xfId="0" applyNumberFormat="1" applyFont="1" applyBorder="1"/>
    <xf numFmtId="1" fontId="15" fillId="0" borderId="68" xfId="0" applyNumberFormat="1" applyFont="1" applyBorder="1"/>
    <xf numFmtId="0" fontId="15" fillId="14" borderId="73" xfId="0" applyFont="1" applyFill="1" applyBorder="1"/>
    <xf numFmtId="0" fontId="15" fillId="14" borderId="74" xfId="0" applyFont="1" applyFill="1" applyBorder="1"/>
    <xf numFmtId="9" fontId="22" fillId="0" borderId="0" xfId="0" applyNumberFormat="1" applyFont="1" applyBorder="1" applyAlignment="1">
      <alignment horizontal="center"/>
    </xf>
    <xf numFmtId="1" fontId="15" fillId="0" borderId="69" xfId="0" applyNumberFormat="1" applyFont="1" applyBorder="1"/>
    <xf numFmtId="1" fontId="15" fillId="0" borderId="70" xfId="0" applyNumberFormat="1" applyFont="1" applyBorder="1"/>
    <xf numFmtId="0" fontId="15" fillId="14" borderId="75" xfId="0" applyFont="1" applyFill="1" applyBorder="1"/>
    <xf numFmtId="0" fontId="15" fillId="14" borderId="76" xfId="0" applyFont="1" applyFill="1" applyBorder="1"/>
    <xf numFmtId="0" fontId="15" fillId="0" borderId="37" xfId="0" applyFont="1" applyBorder="1"/>
    <xf numFmtId="0" fontId="15" fillId="0" borderId="38" xfId="0" applyFont="1" applyBorder="1"/>
    <xf numFmtId="0" fontId="15" fillId="0" borderId="39" xfId="0" applyFont="1" applyBorder="1"/>
    <xf numFmtId="0" fontId="15" fillId="14" borderId="49" xfId="0" applyFont="1" applyFill="1" applyBorder="1"/>
    <xf numFmtId="0" fontId="15" fillId="14" borderId="50" xfId="0" applyFont="1" applyFill="1" applyBorder="1"/>
    <xf numFmtId="0" fontId="15" fillId="14" borderId="51" xfId="0" applyFont="1" applyFill="1" applyBorder="1"/>
    <xf numFmtId="0" fontId="26" fillId="0" borderId="0" xfId="0" applyFont="1"/>
    <xf numFmtId="0" fontId="27" fillId="0" borderId="0" xfId="0" applyFont="1"/>
    <xf numFmtId="2" fontId="27" fillId="0" borderId="0" xfId="0" applyNumberFormat="1" applyFont="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2.0499572979367584E-3"/>
                  <c:y val="-0.110274228544803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Input!$K$13:$K$17</c:f>
              <c:strCache>
                <c:ptCount val="5"/>
                <c:pt idx="0">
                  <c:v>     1.) Poverty Score</c:v>
                </c:pt>
                <c:pt idx="1">
                  <c:v>     2.) Risk Score</c:v>
                </c:pt>
                <c:pt idx="2">
                  <c:v>     3.) Criticality Score</c:v>
                </c:pt>
                <c:pt idx="3">
                  <c:v>     4.) Accessibility Score</c:v>
                </c:pt>
                <c:pt idx="4">
                  <c:v>     5.) Surface Condition Score</c:v>
                </c:pt>
              </c:strCache>
            </c:strRef>
          </c:cat>
          <c:val>
            <c:numRef>
              <c:f>Input!$M$13:$M$17</c:f>
              <c:numCache>
                <c:formatCode>0%</c:formatCode>
                <c:ptCount val="5"/>
                <c:pt idx="0">
                  <c:v>0.2</c:v>
                </c:pt>
                <c:pt idx="1">
                  <c:v>0.2</c:v>
                </c:pt>
                <c:pt idx="2">
                  <c:v>0.25</c:v>
                </c:pt>
                <c:pt idx="3">
                  <c:v>0.25</c:v>
                </c:pt>
                <c:pt idx="4">
                  <c:v>0.1</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19</xdr:row>
      <xdr:rowOff>50585</xdr:rowOff>
    </xdr:from>
    <xdr:to>
      <xdr:col>13</xdr:col>
      <xdr:colOff>1306286</xdr:colOff>
      <xdr:row>53</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18</xdr:row>
          <xdr:rowOff>60960</xdr:rowOff>
        </xdr:from>
        <xdr:to>
          <xdr:col>6</xdr:col>
          <xdr:colOff>1356360</xdr:colOff>
          <xdr:row>21</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53</xdr:row>
          <xdr:rowOff>68580</xdr:rowOff>
        </xdr:from>
        <xdr:to>
          <xdr:col>6</xdr:col>
          <xdr:colOff>1341120</xdr:colOff>
          <xdr:row>56</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90</xdr:row>
          <xdr:rowOff>76200</xdr:rowOff>
        </xdr:from>
        <xdr:to>
          <xdr:col>6</xdr:col>
          <xdr:colOff>1348740</xdr:colOff>
          <xdr:row>93</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90</xdr:row>
          <xdr:rowOff>60960</xdr:rowOff>
        </xdr:from>
        <xdr:to>
          <xdr:col>12</xdr:col>
          <xdr:colOff>1051560</xdr:colOff>
          <xdr:row>93</xdr:row>
          <xdr:rowOff>106680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53</xdr:row>
          <xdr:rowOff>30480</xdr:rowOff>
        </xdr:from>
        <xdr:to>
          <xdr:col>12</xdr:col>
          <xdr:colOff>1059180</xdr:colOff>
          <xdr:row>56</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95"/>
  <sheetViews>
    <sheetView showGridLines="0" zoomScale="85" zoomScaleNormal="85" workbookViewId="0">
      <selection activeCell="D4" sqref="D4"/>
    </sheetView>
  </sheetViews>
  <sheetFormatPr defaultRowHeight="14.4" x14ac:dyDescent="0.3"/>
  <cols>
    <col min="1" max="2" width="2.77734375" style="26" customWidth="1"/>
    <col min="3" max="3" width="64.6640625" style="26" customWidth="1"/>
    <col min="4" max="4" width="14.33203125" style="26" customWidth="1"/>
    <col min="5" max="5" width="16.21875" style="26" customWidth="1"/>
    <col min="6" max="6" width="20.5546875" style="26" bestFit="1" customWidth="1"/>
    <col min="7" max="7" width="20.5546875" style="26" customWidth="1"/>
    <col min="8" max="8" width="2.77734375" style="26" customWidth="1"/>
    <col min="9" max="9" width="2.88671875" style="26" customWidth="1"/>
    <col min="10" max="10" width="2.77734375" style="26" customWidth="1"/>
    <col min="11" max="11" width="26.6640625" style="26" customWidth="1"/>
    <col min="12" max="12" width="25.44140625" style="26" customWidth="1"/>
    <col min="13" max="13" width="16.21875" style="26" customWidth="1"/>
    <col min="14" max="14" width="19.21875" style="26" customWidth="1"/>
    <col min="15" max="15" width="2.77734375" style="26" customWidth="1"/>
    <col min="16" max="16384" width="8.88671875" style="26"/>
  </cols>
  <sheetData>
    <row r="1" spans="1:15" ht="25.8" x14ac:dyDescent="0.5">
      <c r="A1" s="24"/>
      <c r="B1" s="24" t="s">
        <v>79</v>
      </c>
      <c r="C1" s="25"/>
      <c r="D1" s="25"/>
      <c r="E1" s="25"/>
      <c r="F1" s="25"/>
      <c r="G1" s="25"/>
      <c r="H1" s="25"/>
      <c r="I1" s="25"/>
      <c r="J1" s="25"/>
      <c r="K1" s="25"/>
      <c r="L1" s="25"/>
      <c r="M1" s="25"/>
      <c r="N1" s="25"/>
      <c r="O1" s="25"/>
    </row>
    <row r="2" spans="1:15" ht="19.8" customHeight="1" x14ac:dyDescent="0.3"/>
    <row r="3" spans="1:15" ht="19.8" customHeight="1" x14ac:dyDescent="0.3">
      <c r="B3" s="27" t="s">
        <v>220</v>
      </c>
      <c r="C3" s="28"/>
      <c r="D3" s="29" t="s">
        <v>221</v>
      </c>
    </row>
    <row r="4" spans="1:15" ht="19.8" customHeight="1" x14ac:dyDescent="0.3">
      <c r="B4" s="27" t="s">
        <v>222</v>
      </c>
      <c r="C4" s="28"/>
      <c r="D4" s="30" t="s">
        <v>260</v>
      </c>
      <c r="E4" s="26" t="s">
        <v>197</v>
      </c>
    </row>
    <row r="5" spans="1:15" ht="19.8" customHeight="1" x14ac:dyDescent="0.3"/>
    <row r="6" spans="1:15" ht="21" x14ac:dyDescent="0.4">
      <c r="B6" s="31"/>
      <c r="C6" s="32" t="s">
        <v>91</v>
      </c>
      <c r="D6" s="33"/>
      <c r="E6" s="33"/>
      <c r="F6" s="33"/>
      <c r="G6" s="33"/>
      <c r="H6" s="34"/>
      <c r="J6" s="35" t="s">
        <v>90</v>
      </c>
      <c r="K6" s="36"/>
      <c r="L6" s="36"/>
      <c r="M6" s="36"/>
      <c r="N6" s="37"/>
    </row>
    <row r="7" spans="1:15" x14ac:dyDescent="0.3">
      <c r="B7" s="38"/>
      <c r="C7" s="39"/>
      <c r="D7" s="39"/>
      <c r="E7" s="39"/>
      <c r="F7" s="39"/>
      <c r="G7" s="39"/>
      <c r="H7" s="40"/>
      <c r="J7" s="41"/>
      <c r="K7" s="42"/>
      <c r="L7" s="42"/>
      <c r="M7" s="42"/>
      <c r="N7" s="43"/>
    </row>
    <row r="8" spans="1:15" x14ac:dyDescent="0.3">
      <c r="B8" s="38"/>
      <c r="C8" s="39" t="s">
        <v>143</v>
      </c>
      <c r="D8" s="39"/>
      <c r="E8" s="39"/>
      <c r="F8" s="39"/>
      <c r="G8" s="39"/>
      <c r="H8" s="40"/>
      <c r="J8" s="41"/>
      <c r="K8" s="42" t="s">
        <v>140</v>
      </c>
      <c r="L8" s="42"/>
      <c r="M8" s="42"/>
      <c r="N8" s="43"/>
    </row>
    <row r="9" spans="1:15" x14ac:dyDescent="0.3">
      <c r="B9" s="38"/>
      <c r="C9" s="39" t="s">
        <v>144</v>
      </c>
      <c r="D9" s="39"/>
      <c r="E9" s="39"/>
      <c r="F9" s="39"/>
      <c r="G9" s="39"/>
      <c r="H9" s="40"/>
      <c r="J9" s="41"/>
      <c r="K9" s="42" t="s">
        <v>139</v>
      </c>
      <c r="L9" s="42"/>
      <c r="M9" s="42"/>
      <c r="N9" s="43"/>
    </row>
    <row r="10" spans="1:15" x14ac:dyDescent="0.3">
      <c r="B10" s="38"/>
      <c r="C10" s="44"/>
      <c r="D10" s="39"/>
      <c r="E10" s="39"/>
      <c r="F10" s="39"/>
      <c r="G10" s="39"/>
      <c r="H10" s="40"/>
      <c r="J10" s="41"/>
      <c r="K10" s="42" t="s">
        <v>141</v>
      </c>
      <c r="L10" s="42"/>
      <c r="M10" s="42"/>
      <c r="N10" s="43"/>
    </row>
    <row r="11" spans="1:15" x14ac:dyDescent="0.3">
      <c r="B11" s="38"/>
      <c r="C11" s="45"/>
      <c r="D11" s="39"/>
      <c r="E11" s="39"/>
      <c r="F11" s="39"/>
      <c r="G11" s="39"/>
      <c r="H11" s="40"/>
      <c r="J11" s="41"/>
      <c r="L11" s="42"/>
      <c r="M11" s="42"/>
      <c r="N11" s="43"/>
    </row>
    <row r="12" spans="1:15" x14ac:dyDescent="0.3">
      <c r="A12" s="46"/>
      <c r="B12" s="38"/>
      <c r="C12" s="47" t="s">
        <v>142</v>
      </c>
      <c r="D12" s="48" t="s">
        <v>73</v>
      </c>
      <c r="E12" s="39"/>
      <c r="F12" s="39"/>
      <c r="G12" s="39"/>
      <c r="H12" s="40"/>
      <c r="J12" s="41"/>
      <c r="K12" s="49" t="s">
        <v>93</v>
      </c>
      <c r="L12" s="49"/>
      <c r="M12" s="50" t="s">
        <v>73</v>
      </c>
      <c r="N12" s="43"/>
    </row>
    <row r="13" spans="1:15" x14ac:dyDescent="0.3">
      <c r="B13" s="38"/>
      <c r="C13" s="51" t="s">
        <v>10</v>
      </c>
      <c r="D13" s="52">
        <v>0.05</v>
      </c>
      <c r="E13" s="39"/>
      <c r="F13" s="39"/>
      <c r="G13" s="39"/>
      <c r="H13" s="40"/>
      <c r="J13" s="41"/>
      <c r="K13" s="41" t="s">
        <v>184</v>
      </c>
      <c r="L13" s="53"/>
      <c r="M13" s="54">
        <v>0.2</v>
      </c>
      <c r="N13" s="43"/>
    </row>
    <row r="14" spans="1:15" x14ac:dyDescent="0.3">
      <c r="B14" s="38"/>
      <c r="C14" s="51" t="s">
        <v>0</v>
      </c>
      <c r="D14" s="52">
        <v>0.05</v>
      </c>
      <c r="E14" s="39"/>
      <c r="F14" s="39"/>
      <c r="G14" s="39"/>
      <c r="H14" s="40"/>
      <c r="J14" s="41"/>
      <c r="K14" s="41" t="s">
        <v>185</v>
      </c>
      <c r="L14" s="53"/>
      <c r="M14" s="54">
        <v>0.2</v>
      </c>
      <c r="N14" s="43"/>
    </row>
    <row r="15" spans="1:15" x14ac:dyDescent="0.3">
      <c r="B15" s="38"/>
      <c r="C15" s="51" t="s">
        <v>2</v>
      </c>
      <c r="D15" s="52">
        <v>0.2</v>
      </c>
      <c r="E15" s="39"/>
      <c r="F15" s="39"/>
      <c r="G15" s="39"/>
      <c r="H15" s="40"/>
      <c r="J15" s="41"/>
      <c r="K15" s="41" t="s">
        <v>186</v>
      </c>
      <c r="L15" s="53"/>
      <c r="M15" s="54">
        <v>0.25</v>
      </c>
      <c r="N15" s="43"/>
    </row>
    <row r="16" spans="1:15" x14ac:dyDescent="0.3">
      <c r="B16" s="38"/>
      <c r="C16" s="51" t="s">
        <v>19</v>
      </c>
      <c r="D16" s="52">
        <v>0.1</v>
      </c>
      <c r="E16" s="39"/>
      <c r="F16" s="39"/>
      <c r="G16" s="39"/>
      <c r="H16" s="40"/>
      <c r="J16" s="41"/>
      <c r="K16" s="41" t="s">
        <v>187</v>
      </c>
      <c r="L16" s="53"/>
      <c r="M16" s="54">
        <v>0.25</v>
      </c>
      <c r="N16" s="43"/>
    </row>
    <row r="17" spans="2:14" x14ac:dyDescent="0.3">
      <c r="B17" s="38"/>
      <c r="C17" s="51" t="s">
        <v>12</v>
      </c>
      <c r="D17" s="52">
        <v>0.1</v>
      </c>
      <c r="E17" s="39"/>
      <c r="F17" s="39"/>
      <c r="G17" s="39"/>
      <c r="H17" s="40"/>
      <c r="J17" s="41"/>
      <c r="K17" s="55" t="s">
        <v>188</v>
      </c>
      <c r="L17" s="53"/>
      <c r="M17" s="54">
        <v>0.1</v>
      </c>
      <c r="N17" s="43"/>
    </row>
    <row r="18" spans="2:14" x14ac:dyDescent="0.3">
      <c r="B18" s="38"/>
      <c r="C18" s="51" t="s">
        <v>4</v>
      </c>
      <c r="D18" s="52">
        <v>0.05</v>
      </c>
      <c r="E18" s="39"/>
      <c r="F18" s="39"/>
      <c r="G18" s="39"/>
      <c r="H18" s="40"/>
      <c r="J18" s="41"/>
      <c r="K18" s="49" t="s">
        <v>95</v>
      </c>
      <c r="L18" s="56"/>
      <c r="M18" s="57">
        <f>SUM(M13:M17)</f>
        <v>1</v>
      </c>
      <c r="N18" s="43"/>
    </row>
    <row r="19" spans="2:14" x14ac:dyDescent="0.3">
      <c r="B19" s="38"/>
      <c r="C19" s="51" t="s">
        <v>7</v>
      </c>
      <c r="D19" s="52">
        <v>0.05</v>
      </c>
      <c r="E19" s="39"/>
      <c r="F19" s="58"/>
      <c r="G19" s="59"/>
      <c r="H19" s="40"/>
      <c r="J19" s="41"/>
      <c r="K19" s="60"/>
      <c r="L19" s="61" t="str">
        <f>IF(M18=1,"OK","ERROR! Ensure Weighting total = 100%")</f>
        <v>OK</v>
      </c>
      <c r="M19" s="42"/>
      <c r="N19" s="43"/>
    </row>
    <row r="20" spans="2:14" x14ac:dyDescent="0.3">
      <c r="B20" s="38"/>
      <c r="C20" s="51" t="s">
        <v>57</v>
      </c>
      <c r="D20" s="52">
        <v>0.1</v>
      </c>
      <c r="E20" s="39"/>
      <c r="F20" s="62"/>
      <c r="G20" s="63"/>
      <c r="H20" s="40"/>
      <c r="J20" s="41"/>
      <c r="K20" s="42"/>
      <c r="L20" s="42"/>
      <c r="M20" s="42"/>
      <c r="N20" s="43"/>
    </row>
    <row r="21" spans="2:14" x14ac:dyDescent="0.3">
      <c r="B21" s="38"/>
      <c r="C21" s="51" t="s">
        <v>61</v>
      </c>
      <c r="D21" s="52">
        <v>0.1</v>
      </c>
      <c r="E21" s="39"/>
      <c r="F21" s="62"/>
      <c r="G21" s="63"/>
      <c r="H21" s="40"/>
      <c r="J21" s="41"/>
      <c r="K21" s="42"/>
      <c r="L21" s="42"/>
      <c r="M21" s="42"/>
      <c r="N21" s="43"/>
    </row>
    <row r="22" spans="2:14" x14ac:dyDescent="0.3">
      <c r="B22" s="38"/>
      <c r="C22" s="64" t="s">
        <v>17</v>
      </c>
      <c r="D22" s="65">
        <v>0.2</v>
      </c>
      <c r="E22" s="39"/>
      <c r="F22" s="66"/>
      <c r="G22" s="67"/>
      <c r="H22" s="40"/>
      <c r="J22" s="41"/>
      <c r="K22" s="42"/>
      <c r="L22" s="42"/>
      <c r="M22" s="42"/>
      <c r="N22" s="43"/>
    </row>
    <row r="23" spans="2:14" x14ac:dyDescent="0.3">
      <c r="B23" s="68"/>
      <c r="C23" s="69" t="str">
        <f>IF(D23=1,"OK","ERROR! Ensure Weighting total = 100%")</f>
        <v>OK</v>
      </c>
      <c r="D23" s="70">
        <f>SUM(D13:D22)</f>
        <v>1</v>
      </c>
      <c r="E23" s="70"/>
      <c r="F23" s="71"/>
      <c r="G23" s="71"/>
      <c r="H23" s="72"/>
      <c r="J23" s="41"/>
      <c r="K23" s="42"/>
      <c r="L23" s="42"/>
      <c r="M23" s="42"/>
      <c r="N23" s="43"/>
    </row>
    <row r="24" spans="2:14" x14ac:dyDescent="0.3">
      <c r="J24" s="41"/>
      <c r="K24" s="42"/>
      <c r="L24" s="42"/>
      <c r="M24" s="42"/>
      <c r="N24" s="43"/>
    </row>
    <row r="25" spans="2:14" ht="21" x14ac:dyDescent="0.4">
      <c r="B25" s="73"/>
      <c r="C25" s="74" t="s">
        <v>92</v>
      </c>
      <c r="D25" s="75"/>
      <c r="E25" s="75"/>
      <c r="F25" s="75"/>
      <c r="G25" s="75"/>
      <c r="H25" s="76"/>
      <c r="J25" s="41"/>
      <c r="K25" s="42"/>
      <c r="L25" s="42"/>
      <c r="M25" s="42"/>
      <c r="N25" s="43"/>
    </row>
    <row r="26" spans="2:14" x14ac:dyDescent="0.3">
      <c r="B26" s="77"/>
      <c r="C26" s="78"/>
      <c r="D26" s="78"/>
      <c r="E26" s="78"/>
      <c r="F26" s="78"/>
      <c r="G26" s="78"/>
      <c r="H26" s="79"/>
      <c r="J26" s="41"/>
      <c r="K26" s="42"/>
      <c r="L26" s="42"/>
      <c r="M26" s="42"/>
      <c r="N26" s="43"/>
    </row>
    <row r="27" spans="2:14" x14ac:dyDescent="0.3">
      <c r="B27" s="77"/>
      <c r="C27" s="78" t="s">
        <v>114</v>
      </c>
      <c r="D27" s="78"/>
      <c r="E27" s="78"/>
      <c r="F27" s="78"/>
      <c r="G27" s="78"/>
      <c r="H27" s="79"/>
      <c r="J27" s="41"/>
      <c r="K27" s="42"/>
      <c r="L27" s="42"/>
      <c r="M27" s="42"/>
      <c r="N27" s="43"/>
    </row>
    <row r="28" spans="2:14" x14ac:dyDescent="0.3">
      <c r="B28" s="77"/>
      <c r="C28" s="78" t="s">
        <v>115</v>
      </c>
      <c r="D28" s="78"/>
      <c r="E28" s="78"/>
      <c r="F28" s="78"/>
      <c r="G28" s="78"/>
      <c r="H28" s="79"/>
      <c r="J28" s="41"/>
      <c r="K28" s="42"/>
      <c r="L28" s="42"/>
      <c r="M28" s="42"/>
      <c r="N28" s="43"/>
    </row>
    <row r="29" spans="2:14" x14ac:dyDescent="0.3">
      <c r="B29" s="77"/>
      <c r="C29" s="78" t="s">
        <v>148</v>
      </c>
      <c r="D29" s="78"/>
      <c r="E29" s="78"/>
      <c r="F29" s="78"/>
      <c r="G29" s="78"/>
      <c r="H29" s="79"/>
      <c r="J29" s="41"/>
      <c r="K29" s="42"/>
      <c r="L29" s="42"/>
      <c r="M29" s="42"/>
      <c r="N29" s="43"/>
    </row>
    <row r="30" spans="2:14" x14ac:dyDescent="0.3">
      <c r="B30" s="77"/>
      <c r="C30" s="78" t="s">
        <v>149</v>
      </c>
      <c r="D30" s="78"/>
      <c r="E30" s="78"/>
      <c r="F30" s="78"/>
      <c r="G30" s="78"/>
      <c r="H30" s="79"/>
      <c r="J30" s="41"/>
      <c r="K30" s="42"/>
      <c r="L30" s="42"/>
      <c r="M30" s="42"/>
      <c r="N30" s="43"/>
    </row>
    <row r="31" spans="2:14" x14ac:dyDescent="0.3">
      <c r="B31" s="77"/>
      <c r="C31" s="78" t="s">
        <v>113</v>
      </c>
      <c r="D31" s="78"/>
      <c r="E31" s="78"/>
      <c r="F31" s="78"/>
      <c r="G31" s="78"/>
      <c r="H31" s="79"/>
      <c r="J31" s="41"/>
      <c r="K31" s="42"/>
      <c r="L31" s="42"/>
      <c r="M31" s="42"/>
      <c r="N31" s="43"/>
    </row>
    <row r="32" spans="2:14" x14ac:dyDescent="0.3">
      <c r="B32" s="77"/>
      <c r="C32" s="78" t="s">
        <v>147</v>
      </c>
      <c r="D32" s="78"/>
      <c r="E32" s="78"/>
      <c r="F32" s="78"/>
      <c r="G32" s="78"/>
      <c r="H32" s="79"/>
      <c r="J32" s="41"/>
      <c r="K32" s="42"/>
      <c r="L32" s="42"/>
      <c r="M32" s="42"/>
      <c r="N32" s="43"/>
    </row>
    <row r="33" spans="2:14" x14ac:dyDescent="0.3">
      <c r="B33" s="77"/>
      <c r="C33" s="78" t="s">
        <v>116</v>
      </c>
      <c r="D33" s="78"/>
      <c r="E33" s="78"/>
      <c r="F33" s="78"/>
      <c r="G33" s="78"/>
      <c r="H33" s="79"/>
      <c r="J33" s="41"/>
      <c r="K33" s="42"/>
      <c r="L33" s="42"/>
      <c r="M33" s="42"/>
      <c r="N33" s="43"/>
    </row>
    <row r="34" spans="2:14" x14ac:dyDescent="0.3">
      <c r="B34" s="77"/>
      <c r="C34" s="78" t="s">
        <v>145</v>
      </c>
      <c r="D34" s="78"/>
      <c r="E34" s="78"/>
      <c r="F34" s="78"/>
      <c r="G34" s="78"/>
      <c r="H34" s="79"/>
      <c r="J34" s="41"/>
      <c r="K34" s="42"/>
      <c r="L34" s="42"/>
      <c r="M34" s="42"/>
      <c r="N34" s="43"/>
    </row>
    <row r="35" spans="2:14" x14ac:dyDescent="0.3">
      <c r="B35" s="77"/>
      <c r="C35" s="78" t="s">
        <v>146</v>
      </c>
      <c r="D35" s="78"/>
      <c r="E35" s="78"/>
      <c r="F35" s="78"/>
      <c r="G35" s="78"/>
      <c r="H35" s="79"/>
      <c r="J35" s="41"/>
      <c r="K35" s="42"/>
      <c r="L35" s="42"/>
      <c r="M35" s="42"/>
      <c r="N35" s="43"/>
    </row>
    <row r="36" spans="2:14" x14ac:dyDescent="0.3">
      <c r="B36" s="77"/>
      <c r="C36" s="78" t="s">
        <v>117</v>
      </c>
      <c r="D36" s="78"/>
      <c r="E36" s="78"/>
      <c r="F36" s="78"/>
      <c r="G36" s="78"/>
      <c r="H36" s="79"/>
      <c r="J36" s="41"/>
      <c r="K36" s="42"/>
      <c r="L36" s="42"/>
      <c r="M36" s="42"/>
      <c r="N36" s="43"/>
    </row>
    <row r="37" spans="2:14" x14ac:dyDescent="0.3">
      <c r="B37" s="77"/>
      <c r="C37" s="78"/>
      <c r="D37" s="78"/>
      <c r="E37" s="78"/>
      <c r="F37" s="78"/>
      <c r="G37" s="78"/>
      <c r="H37" s="79"/>
      <c r="J37" s="41"/>
      <c r="K37" s="42"/>
      <c r="L37" s="42"/>
      <c r="M37" s="42"/>
      <c r="N37" s="43"/>
    </row>
    <row r="38" spans="2:14" x14ac:dyDescent="0.3">
      <c r="B38" s="77"/>
      <c r="C38" s="80" t="s">
        <v>80</v>
      </c>
      <c r="D38" s="81" t="s">
        <v>73</v>
      </c>
      <c r="E38" s="81" t="s">
        <v>111</v>
      </c>
      <c r="F38" s="81" t="s">
        <v>155</v>
      </c>
      <c r="G38" s="78"/>
      <c r="H38" s="79"/>
      <c r="J38" s="41"/>
      <c r="K38" s="42"/>
      <c r="L38" s="42"/>
      <c r="M38" s="42"/>
      <c r="N38" s="43"/>
    </row>
    <row r="39" spans="2:14" x14ac:dyDescent="0.3">
      <c r="B39" s="77"/>
      <c r="C39" s="51" t="s">
        <v>81</v>
      </c>
      <c r="D39" s="52">
        <v>0.03</v>
      </c>
      <c r="E39" s="52" t="s">
        <v>112</v>
      </c>
      <c r="F39" s="82">
        <v>50</v>
      </c>
      <c r="G39" s="78"/>
      <c r="H39" s="79"/>
      <c r="J39" s="41"/>
      <c r="K39" s="42"/>
      <c r="L39" s="42"/>
      <c r="M39" s="42"/>
      <c r="N39" s="43"/>
    </row>
    <row r="40" spans="2:14" x14ac:dyDescent="0.3">
      <c r="B40" s="77"/>
      <c r="C40" s="51" t="s">
        <v>82</v>
      </c>
      <c r="D40" s="52">
        <v>0.01</v>
      </c>
      <c r="E40" s="52" t="s">
        <v>112</v>
      </c>
      <c r="F40" s="82">
        <v>50</v>
      </c>
      <c r="G40" s="78"/>
      <c r="H40" s="79"/>
      <c r="J40" s="41"/>
      <c r="K40" s="42"/>
      <c r="L40" s="42"/>
      <c r="M40" s="42"/>
      <c r="N40" s="43"/>
    </row>
    <row r="41" spans="2:14" x14ac:dyDescent="0.3">
      <c r="B41" s="77"/>
      <c r="C41" s="51" t="s">
        <v>130</v>
      </c>
      <c r="D41" s="52">
        <v>0.15</v>
      </c>
      <c r="E41" s="52" t="s">
        <v>112</v>
      </c>
      <c r="F41" s="83">
        <v>0.5</v>
      </c>
      <c r="G41" s="78"/>
      <c r="H41" s="79"/>
      <c r="J41" s="41"/>
      <c r="K41" s="42"/>
      <c r="L41" s="42"/>
      <c r="M41" s="42"/>
      <c r="N41" s="43"/>
    </row>
    <row r="42" spans="2:14" x14ac:dyDescent="0.3">
      <c r="B42" s="77"/>
      <c r="C42" s="51" t="s">
        <v>133</v>
      </c>
      <c r="D42" s="52">
        <v>0.1</v>
      </c>
      <c r="E42" s="52" t="s">
        <v>112</v>
      </c>
      <c r="F42" s="83">
        <v>0.5</v>
      </c>
      <c r="G42" s="78"/>
      <c r="H42" s="79"/>
      <c r="J42" s="41"/>
      <c r="K42" s="42"/>
      <c r="L42" s="42"/>
      <c r="M42" s="42"/>
      <c r="N42" s="43"/>
    </row>
    <row r="43" spans="2:14" x14ac:dyDescent="0.3">
      <c r="B43" s="77"/>
      <c r="C43" s="51" t="s">
        <v>138</v>
      </c>
      <c r="D43" s="52">
        <v>0.05</v>
      </c>
      <c r="E43" s="52" t="s">
        <v>112</v>
      </c>
      <c r="F43" s="83">
        <v>0.5</v>
      </c>
      <c r="G43" s="78"/>
      <c r="H43" s="79"/>
      <c r="J43" s="41"/>
      <c r="K43" s="42"/>
      <c r="L43" s="42"/>
      <c r="M43" s="42"/>
      <c r="N43" s="43"/>
    </row>
    <row r="44" spans="2:14" x14ac:dyDescent="0.3">
      <c r="B44" s="77"/>
      <c r="C44" s="51" t="s">
        <v>131</v>
      </c>
      <c r="D44" s="52">
        <v>0.1</v>
      </c>
      <c r="E44" s="52" t="s">
        <v>112</v>
      </c>
      <c r="F44" s="83">
        <v>0.5</v>
      </c>
      <c r="G44" s="78"/>
      <c r="H44" s="79"/>
      <c r="J44" s="41"/>
      <c r="K44" s="42"/>
      <c r="L44" s="42"/>
      <c r="M44" s="42"/>
      <c r="N44" s="43"/>
    </row>
    <row r="45" spans="2:14" x14ac:dyDescent="0.3">
      <c r="B45" s="77"/>
      <c r="C45" s="51" t="s">
        <v>134</v>
      </c>
      <c r="D45" s="52">
        <v>0.05</v>
      </c>
      <c r="E45" s="52" t="s">
        <v>112</v>
      </c>
      <c r="F45" s="83">
        <v>0.5</v>
      </c>
      <c r="G45" s="78"/>
      <c r="H45" s="79"/>
      <c r="J45" s="41"/>
      <c r="K45" s="42"/>
      <c r="L45" s="42"/>
      <c r="M45" s="42"/>
      <c r="N45" s="43"/>
    </row>
    <row r="46" spans="2:14" x14ac:dyDescent="0.3">
      <c r="B46" s="77"/>
      <c r="C46" s="51" t="s">
        <v>137</v>
      </c>
      <c r="D46" s="52">
        <v>0.03</v>
      </c>
      <c r="E46" s="52" t="s">
        <v>112</v>
      </c>
      <c r="F46" s="83">
        <v>0.5</v>
      </c>
      <c r="G46" s="78"/>
      <c r="H46" s="79"/>
      <c r="J46" s="41"/>
      <c r="K46" s="42"/>
      <c r="L46" s="42"/>
      <c r="M46" s="42"/>
      <c r="N46" s="43"/>
    </row>
    <row r="47" spans="2:14" x14ac:dyDescent="0.3">
      <c r="B47" s="77"/>
      <c r="C47" s="51" t="s">
        <v>132</v>
      </c>
      <c r="D47" s="52">
        <v>0.1</v>
      </c>
      <c r="E47" s="52" t="s">
        <v>112</v>
      </c>
      <c r="F47" s="83">
        <v>0.5</v>
      </c>
      <c r="G47" s="78"/>
      <c r="H47" s="79"/>
      <c r="J47" s="41"/>
      <c r="K47" s="42"/>
      <c r="L47" s="42"/>
      <c r="M47" s="42"/>
      <c r="N47" s="43"/>
    </row>
    <row r="48" spans="2:14" x14ac:dyDescent="0.3">
      <c r="B48" s="77"/>
      <c r="C48" s="51" t="s">
        <v>135</v>
      </c>
      <c r="D48" s="52">
        <v>0.05</v>
      </c>
      <c r="E48" s="52" t="s">
        <v>112</v>
      </c>
      <c r="F48" s="83">
        <v>0.5</v>
      </c>
      <c r="G48" s="78"/>
      <c r="H48" s="79"/>
      <c r="J48" s="41"/>
      <c r="K48" s="42"/>
      <c r="L48" s="42"/>
      <c r="M48" s="42"/>
      <c r="N48" s="43"/>
    </row>
    <row r="49" spans="2:14" x14ac:dyDescent="0.3">
      <c r="B49" s="77"/>
      <c r="C49" s="51" t="s">
        <v>136</v>
      </c>
      <c r="D49" s="52">
        <v>0.03</v>
      </c>
      <c r="E49" s="52" t="s">
        <v>112</v>
      </c>
      <c r="F49" s="83">
        <v>0.5</v>
      </c>
      <c r="G49" s="78"/>
      <c r="H49" s="79"/>
      <c r="J49" s="41"/>
      <c r="K49" s="42"/>
      <c r="L49" s="42"/>
      <c r="M49" s="42"/>
      <c r="N49" s="43"/>
    </row>
    <row r="50" spans="2:14" x14ac:dyDescent="0.3">
      <c r="B50" s="77"/>
      <c r="C50" s="51" t="s">
        <v>84</v>
      </c>
      <c r="D50" s="52">
        <v>0.03</v>
      </c>
      <c r="E50" s="52" t="s">
        <v>112</v>
      </c>
      <c r="F50" s="84">
        <v>30</v>
      </c>
      <c r="G50" s="78"/>
      <c r="H50" s="79"/>
      <c r="J50" s="41"/>
      <c r="K50" s="42"/>
      <c r="L50" s="42"/>
      <c r="M50" s="42"/>
      <c r="N50" s="43"/>
    </row>
    <row r="51" spans="2:14" x14ac:dyDescent="0.3">
      <c r="B51" s="77"/>
      <c r="C51" s="51" t="s">
        <v>85</v>
      </c>
      <c r="D51" s="52">
        <v>0.02</v>
      </c>
      <c r="E51" s="52" t="s">
        <v>112</v>
      </c>
      <c r="F51" s="84">
        <v>30</v>
      </c>
      <c r="G51" s="78"/>
      <c r="H51" s="79"/>
      <c r="J51" s="41"/>
      <c r="K51" s="42"/>
      <c r="L51" s="42"/>
      <c r="M51" s="42"/>
      <c r="N51" s="43"/>
    </row>
    <row r="52" spans="2:14" x14ac:dyDescent="0.3">
      <c r="B52" s="77"/>
      <c r="C52" s="51" t="s">
        <v>86</v>
      </c>
      <c r="D52" s="52">
        <v>0.01</v>
      </c>
      <c r="E52" s="52" t="s">
        <v>112</v>
      </c>
      <c r="F52" s="84">
        <v>30</v>
      </c>
      <c r="G52" s="78"/>
      <c r="H52" s="79"/>
      <c r="J52" s="41"/>
      <c r="K52" s="42"/>
      <c r="L52" s="42"/>
      <c r="M52" s="42"/>
      <c r="N52" s="43"/>
    </row>
    <row r="53" spans="2:14" x14ac:dyDescent="0.3">
      <c r="B53" s="77"/>
      <c r="C53" s="51" t="s">
        <v>87</v>
      </c>
      <c r="D53" s="52">
        <v>0.06</v>
      </c>
      <c r="E53" s="85" t="s">
        <v>112</v>
      </c>
      <c r="F53" s="78"/>
      <c r="G53" s="78"/>
      <c r="H53" s="79"/>
      <c r="J53" s="41"/>
      <c r="K53" s="42"/>
      <c r="L53" s="42"/>
      <c r="M53" s="42"/>
      <c r="N53" s="43"/>
    </row>
    <row r="54" spans="2:14" x14ac:dyDescent="0.3">
      <c r="B54" s="77"/>
      <c r="C54" s="51" t="s">
        <v>88</v>
      </c>
      <c r="D54" s="52">
        <v>0.04</v>
      </c>
      <c r="E54" s="86" t="s">
        <v>112</v>
      </c>
      <c r="F54" s="87"/>
      <c r="G54" s="88"/>
      <c r="H54" s="79"/>
      <c r="J54" s="41"/>
      <c r="K54" s="42"/>
      <c r="L54" s="89"/>
      <c r="M54" s="90"/>
      <c r="N54" s="43"/>
    </row>
    <row r="55" spans="2:14" x14ac:dyDescent="0.3">
      <c r="B55" s="77"/>
      <c r="C55" s="51" t="s">
        <v>89</v>
      </c>
      <c r="D55" s="52">
        <v>0.02</v>
      </c>
      <c r="E55" s="86" t="s">
        <v>112</v>
      </c>
      <c r="F55" s="77"/>
      <c r="G55" s="79"/>
      <c r="H55" s="79"/>
      <c r="J55" s="41"/>
      <c r="K55" s="42"/>
      <c r="L55" s="41"/>
      <c r="M55" s="43"/>
      <c r="N55" s="43"/>
    </row>
    <row r="56" spans="2:14" x14ac:dyDescent="0.3">
      <c r="B56" s="77"/>
      <c r="C56" s="51" t="s">
        <v>83</v>
      </c>
      <c r="D56" s="52">
        <v>0.02</v>
      </c>
      <c r="E56" s="86" t="s">
        <v>112</v>
      </c>
      <c r="F56" s="77"/>
      <c r="G56" s="79"/>
      <c r="H56" s="79"/>
      <c r="J56" s="41"/>
      <c r="K56" s="42"/>
      <c r="L56" s="41"/>
      <c r="M56" s="43"/>
      <c r="N56" s="43"/>
    </row>
    <row r="57" spans="2:14" x14ac:dyDescent="0.3">
      <c r="B57" s="77"/>
      <c r="C57" s="51" t="s">
        <v>156</v>
      </c>
      <c r="D57" s="52">
        <v>0.1</v>
      </c>
      <c r="E57" s="86" t="s">
        <v>112</v>
      </c>
      <c r="F57" s="91"/>
      <c r="G57" s="92"/>
      <c r="H57" s="79"/>
      <c r="J57" s="41"/>
      <c r="K57" s="42"/>
      <c r="L57" s="55"/>
      <c r="M57" s="93"/>
      <c r="N57" s="43"/>
    </row>
    <row r="58" spans="2:14" x14ac:dyDescent="0.3">
      <c r="B58" s="91"/>
      <c r="C58" s="94" t="str">
        <f>IF(D58=1,"OK","ERROR! Ensure Weighting total = 100%")</f>
        <v>OK</v>
      </c>
      <c r="D58" s="95">
        <f>SUM(D39:D57)</f>
        <v>1.0000000000000002</v>
      </c>
      <c r="E58" s="96"/>
      <c r="F58" s="96"/>
      <c r="G58" s="96"/>
      <c r="H58" s="92"/>
      <c r="J58" s="55"/>
      <c r="K58" s="97"/>
      <c r="L58" s="97"/>
      <c r="M58" s="97"/>
      <c r="N58" s="93"/>
    </row>
    <row r="60" spans="2:14" ht="21" x14ac:dyDescent="0.4">
      <c r="B60" s="98" t="s">
        <v>94</v>
      </c>
      <c r="C60" s="99"/>
      <c r="D60" s="100"/>
      <c r="E60" s="100"/>
      <c r="F60" s="100"/>
      <c r="G60" s="100"/>
      <c r="H60" s="101"/>
      <c r="J60" s="102" t="s">
        <v>176</v>
      </c>
      <c r="K60" s="103"/>
      <c r="L60" s="103"/>
      <c r="M60" s="103"/>
      <c r="N60" s="104"/>
    </row>
    <row r="61" spans="2:14" x14ac:dyDescent="0.3">
      <c r="B61" s="105"/>
      <c r="C61" s="42"/>
      <c r="D61" s="42"/>
      <c r="E61" s="42"/>
      <c r="F61" s="42"/>
      <c r="G61" s="42"/>
      <c r="H61" s="106"/>
      <c r="J61" s="107"/>
      <c r="K61" s="108"/>
      <c r="L61" s="108"/>
      <c r="M61" s="108"/>
      <c r="N61" s="109"/>
    </row>
    <row r="62" spans="2:14" x14ac:dyDescent="0.3">
      <c r="B62" s="105"/>
      <c r="C62" s="110" t="s">
        <v>157</v>
      </c>
      <c r="D62" s="111"/>
      <c r="E62" s="42"/>
      <c r="F62" s="42"/>
      <c r="G62" s="42"/>
      <c r="H62" s="106"/>
      <c r="J62" s="107"/>
      <c r="K62" s="108" t="s">
        <v>177</v>
      </c>
      <c r="L62" s="108"/>
      <c r="M62" s="108"/>
      <c r="N62" s="109"/>
    </row>
    <row r="63" spans="2:14" x14ac:dyDescent="0.3">
      <c r="B63" s="105"/>
      <c r="C63" s="112" t="s">
        <v>159</v>
      </c>
      <c r="D63" s="113" t="s">
        <v>160</v>
      </c>
      <c r="E63" s="42"/>
      <c r="F63" s="42"/>
      <c r="G63" s="42"/>
      <c r="H63" s="106"/>
      <c r="J63" s="107"/>
      <c r="K63" s="108"/>
      <c r="L63" s="108"/>
      <c r="M63" s="108"/>
      <c r="N63" s="109"/>
    </row>
    <row r="64" spans="2:14" x14ac:dyDescent="0.3">
      <c r="B64" s="105"/>
      <c r="C64" s="51" t="s">
        <v>163</v>
      </c>
      <c r="D64" s="52" t="s">
        <v>164</v>
      </c>
      <c r="E64" s="42"/>
      <c r="F64" s="42"/>
      <c r="G64" s="42"/>
      <c r="H64" s="106"/>
      <c r="J64" s="107"/>
      <c r="K64" s="108" t="s">
        <v>183</v>
      </c>
      <c r="L64" s="108"/>
      <c r="M64" s="108"/>
      <c r="N64" s="109"/>
    </row>
    <row r="65" spans="2:14" x14ac:dyDescent="0.3">
      <c r="B65" s="105"/>
      <c r="C65" s="51"/>
      <c r="D65" s="52"/>
      <c r="E65" s="42"/>
      <c r="F65" s="42"/>
      <c r="G65" s="42"/>
      <c r="H65" s="106"/>
      <c r="J65" s="107"/>
      <c r="K65" s="108"/>
      <c r="L65" s="108"/>
      <c r="M65" s="108"/>
      <c r="N65" s="109"/>
    </row>
    <row r="66" spans="2:14" x14ac:dyDescent="0.3">
      <c r="B66" s="105"/>
      <c r="C66" s="51"/>
      <c r="D66" s="52"/>
      <c r="E66" s="42"/>
      <c r="F66" s="42"/>
      <c r="G66" s="42"/>
      <c r="H66" s="106"/>
      <c r="J66" s="107"/>
      <c r="K66" s="114" t="s">
        <v>169</v>
      </c>
      <c r="L66" s="115"/>
      <c r="M66" s="114" t="s">
        <v>73</v>
      </c>
      <c r="N66" s="109"/>
    </row>
    <row r="67" spans="2:14" x14ac:dyDescent="0.3">
      <c r="B67" s="105"/>
      <c r="C67" s="42"/>
      <c r="D67" s="42"/>
      <c r="E67" s="116"/>
      <c r="F67" s="116"/>
      <c r="G67" s="116"/>
      <c r="H67" s="106"/>
      <c r="J67" s="107"/>
      <c r="K67" s="117" t="s">
        <v>178</v>
      </c>
      <c r="L67" s="118"/>
      <c r="M67" s="52">
        <v>0.6</v>
      </c>
      <c r="N67" s="109"/>
    </row>
    <row r="68" spans="2:14" x14ac:dyDescent="0.3">
      <c r="B68" s="105"/>
      <c r="C68" s="110" t="s">
        <v>158</v>
      </c>
      <c r="D68" s="111"/>
      <c r="E68" s="111"/>
      <c r="F68" s="111"/>
      <c r="G68" s="111"/>
      <c r="H68" s="106"/>
      <c r="J68" s="107"/>
      <c r="K68" s="117" t="s">
        <v>180</v>
      </c>
      <c r="L68" s="118"/>
      <c r="M68" s="52">
        <v>0.1</v>
      </c>
      <c r="N68" s="109"/>
    </row>
    <row r="69" spans="2:14" x14ac:dyDescent="0.3">
      <c r="B69" s="105"/>
      <c r="C69" s="112" t="s">
        <v>159</v>
      </c>
      <c r="D69" s="113" t="s">
        <v>160</v>
      </c>
      <c r="E69" s="113" t="s">
        <v>161</v>
      </c>
      <c r="F69" s="113" t="s">
        <v>162</v>
      </c>
      <c r="G69" s="113" t="s">
        <v>210</v>
      </c>
      <c r="H69" s="106"/>
      <c r="J69" s="107"/>
      <c r="K69" s="117" t="s">
        <v>181</v>
      </c>
      <c r="L69" s="118"/>
      <c r="M69" s="52">
        <v>0.2</v>
      </c>
      <c r="N69" s="109"/>
    </row>
    <row r="70" spans="2:14" x14ac:dyDescent="0.3">
      <c r="B70" s="105"/>
      <c r="C70" s="51" t="s">
        <v>163</v>
      </c>
      <c r="D70" s="52" t="s">
        <v>164</v>
      </c>
      <c r="E70" s="119">
        <v>1000</v>
      </c>
      <c r="F70" s="118">
        <v>50</v>
      </c>
      <c r="G70" s="118">
        <v>1</v>
      </c>
      <c r="H70" s="106"/>
      <c r="J70" s="107"/>
      <c r="K70" s="117" t="s">
        <v>182</v>
      </c>
      <c r="L70" s="118"/>
      <c r="M70" s="52">
        <v>0.1</v>
      </c>
      <c r="N70" s="109"/>
    </row>
    <row r="71" spans="2:14" x14ac:dyDescent="0.3">
      <c r="B71" s="105"/>
      <c r="C71" s="51" t="s">
        <v>166</v>
      </c>
      <c r="D71" s="52" t="s">
        <v>165</v>
      </c>
      <c r="E71" s="119">
        <v>10000</v>
      </c>
      <c r="F71" s="118">
        <v>3</v>
      </c>
      <c r="G71" s="118">
        <v>5</v>
      </c>
      <c r="H71" s="106"/>
      <c r="J71" s="107"/>
      <c r="K71" s="120" t="str">
        <f>IF(M71=1,"OK","ERROR! Ensure Weighting total = 100%")</f>
        <v>OK</v>
      </c>
      <c r="L71" s="108"/>
      <c r="M71" s="121">
        <f>SUM(M67:M70)</f>
        <v>0.99999999999999989</v>
      </c>
      <c r="N71" s="109"/>
    </row>
    <row r="72" spans="2:14" x14ac:dyDescent="0.3">
      <c r="B72" s="105"/>
      <c r="C72" s="51"/>
      <c r="D72" s="52"/>
      <c r="E72" s="119"/>
      <c r="F72" s="118"/>
      <c r="G72" s="118"/>
      <c r="H72" s="106"/>
      <c r="J72" s="107"/>
      <c r="K72" s="122"/>
      <c r="L72" s="108"/>
      <c r="M72" s="108"/>
      <c r="N72" s="109"/>
    </row>
    <row r="73" spans="2:14" x14ac:dyDescent="0.3">
      <c r="B73" s="105"/>
      <c r="C73" s="42"/>
      <c r="D73" s="42"/>
      <c r="E73" s="116"/>
      <c r="F73" s="116"/>
      <c r="G73" s="116"/>
      <c r="H73" s="106"/>
      <c r="J73" s="107"/>
      <c r="K73" s="123" t="s">
        <v>179</v>
      </c>
      <c r="L73" s="108"/>
      <c r="M73" s="108"/>
      <c r="N73" s="109"/>
    </row>
    <row r="74" spans="2:14" x14ac:dyDescent="0.3">
      <c r="B74" s="105"/>
      <c r="C74" s="110" t="s">
        <v>213</v>
      </c>
      <c r="D74" s="111"/>
      <c r="E74" s="111"/>
      <c r="F74" s="116"/>
      <c r="G74" s="116"/>
      <c r="H74" s="106"/>
      <c r="J74" s="107"/>
      <c r="K74" s="122" t="str">
        <f>"          "&amp;M67&amp;" * "&amp;K67&amp;" +"</f>
        <v xml:space="preserve">          0.6 * Median IRI +</v>
      </c>
      <c r="L74" s="108"/>
      <c r="M74" s="108"/>
      <c r="N74" s="109"/>
    </row>
    <row r="75" spans="2:14" x14ac:dyDescent="0.3">
      <c r="B75" s="105"/>
      <c r="C75" s="112" t="s">
        <v>214</v>
      </c>
      <c r="D75" s="113" t="s">
        <v>215</v>
      </c>
      <c r="E75" s="113" t="s">
        <v>216</v>
      </c>
      <c r="F75" s="116"/>
      <c r="G75" s="116"/>
      <c r="H75" s="106"/>
      <c r="J75" s="107"/>
      <c r="K75" s="122" t="str">
        <f>"          "&amp;M68&amp;" * "&amp;K68&amp;" +"</f>
        <v xml:space="preserve">          0.1 * Minimum IRI  +</v>
      </c>
      <c r="L75" s="108"/>
      <c r="M75" s="108"/>
      <c r="N75" s="109"/>
    </row>
    <row r="76" spans="2:14" x14ac:dyDescent="0.3">
      <c r="B76" s="105"/>
      <c r="C76" s="124">
        <v>1</v>
      </c>
      <c r="D76" s="51" t="s">
        <v>163</v>
      </c>
      <c r="E76" s="51" t="s">
        <v>163</v>
      </c>
      <c r="F76" s="116"/>
      <c r="G76" s="116"/>
      <c r="H76" s="106"/>
      <c r="J76" s="107"/>
      <c r="K76" s="122" t="str">
        <f>"          "&amp;M69&amp;" * "&amp;K69&amp;" +"</f>
        <v xml:space="preserve">          0.2 * Maximum IRI +</v>
      </c>
      <c r="L76" s="108"/>
      <c r="M76" s="108"/>
      <c r="N76" s="109"/>
    </row>
    <row r="77" spans="2:14" x14ac:dyDescent="0.3">
      <c r="B77" s="105"/>
      <c r="C77" s="124">
        <v>2</v>
      </c>
      <c r="D77" s="51" t="s">
        <v>163</v>
      </c>
      <c r="E77" s="51" t="s">
        <v>166</v>
      </c>
      <c r="F77" s="116"/>
      <c r="G77" s="116"/>
      <c r="H77" s="106"/>
      <c r="J77" s="107"/>
      <c r="K77" s="122" t="str">
        <f>"          "&amp;M70&amp;" * "&amp;K70&amp;" )"</f>
        <v xml:space="preserve">          0.1 * Mean IRI )</v>
      </c>
      <c r="L77" s="108"/>
      <c r="M77" s="108"/>
      <c r="N77" s="109"/>
    </row>
    <row r="78" spans="2:14" x14ac:dyDescent="0.3">
      <c r="B78" s="105"/>
      <c r="C78" s="124">
        <v>3</v>
      </c>
      <c r="D78" s="51"/>
      <c r="E78" s="51"/>
      <c r="F78" s="116"/>
      <c r="G78" s="116"/>
      <c r="H78" s="106"/>
      <c r="J78" s="107"/>
      <c r="K78" s="122"/>
      <c r="L78" s="108"/>
      <c r="M78" s="108"/>
      <c r="N78" s="109"/>
    </row>
    <row r="79" spans="2:14" x14ac:dyDescent="0.3">
      <c r="B79" s="105"/>
      <c r="C79" s="124">
        <v>4</v>
      </c>
      <c r="D79" s="51"/>
      <c r="E79" s="51"/>
      <c r="F79" s="116"/>
      <c r="G79" s="116"/>
      <c r="H79" s="106"/>
      <c r="J79" s="107"/>
      <c r="K79" s="122"/>
      <c r="L79" s="108"/>
      <c r="M79" s="108"/>
      <c r="N79" s="109"/>
    </row>
    <row r="80" spans="2:14" x14ac:dyDescent="0.3">
      <c r="B80" s="105"/>
      <c r="C80" s="124">
        <v>5</v>
      </c>
      <c r="D80" s="51"/>
      <c r="E80" s="51"/>
      <c r="F80" s="116"/>
      <c r="G80" s="116"/>
      <c r="H80" s="106"/>
      <c r="J80" s="107"/>
      <c r="K80" s="122"/>
      <c r="L80" s="108"/>
      <c r="M80" s="108"/>
      <c r="N80" s="109"/>
    </row>
    <row r="81" spans="2:14" x14ac:dyDescent="0.3">
      <c r="B81" s="105"/>
      <c r="C81" s="124">
        <v>6</v>
      </c>
      <c r="D81" s="51"/>
      <c r="E81" s="51"/>
      <c r="F81" s="116"/>
      <c r="G81" s="116"/>
      <c r="H81" s="106"/>
      <c r="J81" s="107"/>
      <c r="K81" s="122"/>
      <c r="L81" s="108"/>
      <c r="M81" s="108"/>
      <c r="N81" s="109"/>
    </row>
    <row r="82" spans="2:14" x14ac:dyDescent="0.3">
      <c r="B82" s="105"/>
      <c r="C82" s="42"/>
      <c r="D82" s="42"/>
      <c r="E82" s="116"/>
      <c r="F82" s="116"/>
      <c r="G82" s="116"/>
      <c r="H82" s="106"/>
      <c r="J82" s="107"/>
      <c r="K82" s="122"/>
      <c r="L82" s="108"/>
      <c r="M82" s="108"/>
      <c r="N82" s="109"/>
    </row>
    <row r="83" spans="2:14" x14ac:dyDescent="0.3">
      <c r="B83" s="105"/>
      <c r="C83" s="125" t="s">
        <v>171</v>
      </c>
      <c r="D83" s="116"/>
      <c r="E83" s="116"/>
      <c r="F83" s="116"/>
      <c r="G83" s="116"/>
      <c r="H83" s="106"/>
      <c r="J83" s="107"/>
      <c r="K83" s="122"/>
      <c r="L83" s="108"/>
      <c r="M83" s="108"/>
      <c r="N83" s="109"/>
    </row>
    <row r="84" spans="2:14" x14ac:dyDescent="0.3">
      <c r="B84" s="105"/>
      <c r="C84" s="42" t="s">
        <v>175</v>
      </c>
      <c r="D84" s="42"/>
      <c r="E84" s="116"/>
      <c r="F84" s="116"/>
      <c r="G84" s="116"/>
      <c r="H84" s="106"/>
      <c r="J84" s="107"/>
      <c r="K84" s="122"/>
      <c r="L84" s="108"/>
      <c r="M84" s="108"/>
      <c r="N84" s="109"/>
    </row>
    <row r="85" spans="2:14" x14ac:dyDescent="0.3">
      <c r="B85" s="105"/>
      <c r="C85" s="112" t="s">
        <v>159</v>
      </c>
      <c r="D85" s="112"/>
      <c r="E85" s="113" t="s">
        <v>169</v>
      </c>
      <c r="F85" s="116"/>
      <c r="G85" s="116"/>
      <c r="H85" s="106"/>
      <c r="J85" s="107"/>
      <c r="K85" s="122"/>
      <c r="L85" s="108"/>
      <c r="M85" s="108"/>
      <c r="N85" s="109"/>
    </row>
    <row r="86" spans="2:14" x14ac:dyDescent="0.3">
      <c r="B86" s="105"/>
      <c r="C86" s="51" t="s">
        <v>173</v>
      </c>
      <c r="D86" s="52"/>
      <c r="E86" s="126">
        <v>0.5</v>
      </c>
      <c r="F86" s="116"/>
      <c r="G86" s="116"/>
      <c r="H86" s="106"/>
      <c r="J86" s="107"/>
      <c r="K86" s="122"/>
      <c r="L86" s="108"/>
      <c r="M86" s="108"/>
      <c r="N86" s="109"/>
    </row>
    <row r="87" spans="2:14" x14ac:dyDescent="0.3">
      <c r="B87" s="105"/>
      <c r="C87" s="51" t="s">
        <v>172</v>
      </c>
      <c r="D87" s="52"/>
      <c r="E87" s="126">
        <v>0.25</v>
      </c>
      <c r="F87" s="116"/>
      <c r="G87" s="116"/>
      <c r="H87" s="106"/>
      <c r="J87" s="107"/>
      <c r="K87" s="122"/>
      <c r="L87" s="108"/>
      <c r="M87" s="108"/>
      <c r="N87" s="109"/>
    </row>
    <row r="88" spans="2:14" x14ac:dyDescent="0.3">
      <c r="B88" s="105"/>
      <c r="C88" s="127" t="s">
        <v>174</v>
      </c>
      <c r="D88" s="128" t="str">
        <f>"Length (km) * ("&amp;E86&amp;" + "&amp;E87&amp;" * IRI)"</f>
        <v>Length (km) * (0.5 + 0.25 * IRI)</v>
      </c>
      <c r="E88" s="129"/>
      <c r="F88" s="116"/>
      <c r="G88" s="116"/>
      <c r="H88" s="106"/>
      <c r="J88" s="107"/>
      <c r="K88" s="122"/>
      <c r="L88" s="108"/>
      <c r="M88" s="108"/>
      <c r="N88" s="109"/>
    </row>
    <row r="89" spans="2:14" x14ac:dyDescent="0.3">
      <c r="B89" s="105"/>
      <c r="C89" s="42"/>
      <c r="D89" s="42"/>
      <c r="E89" s="116"/>
      <c r="F89" s="116"/>
      <c r="G89" s="116"/>
      <c r="H89" s="106"/>
      <c r="J89" s="107"/>
      <c r="K89" s="108"/>
      <c r="L89" s="108"/>
      <c r="M89" s="108"/>
      <c r="N89" s="109"/>
    </row>
    <row r="90" spans="2:14" x14ac:dyDescent="0.3">
      <c r="B90" s="105"/>
      <c r="C90" s="130" t="s">
        <v>167</v>
      </c>
      <c r="D90" s="42"/>
      <c r="E90" s="116"/>
      <c r="F90" s="116"/>
      <c r="G90" s="116"/>
      <c r="H90" s="106"/>
      <c r="J90" s="107"/>
      <c r="K90" s="108"/>
      <c r="L90" s="108"/>
      <c r="M90" s="108"/>
      <c r="N90" s="109"/>
    </row>
    <row r="91" spans="2:14" x14ac:dyDescent="0.3">
      <c r="B91" s="105"/>
      <c r="C91" s="112" t="s">
        <v>159</v>
      </c>
      <c r="D91" s="113" t="s">
        <v>73</v>
      </c>
      <c r="E91" s="116"/>
      <c r="F91" s="131"/>
      <c r="G91" s="132"/>
      <c r="H91" s="106"/>
      <c r="J91" s="107"/>
      <c r="K91" s="108"/>
      <c r="L91" s="133"/>
      <c r="M91" s="134"/>
      <c r="N91" s="109"/>
    </row>
    <row r="92" spans="2:14" x14ac:dyDescent="0.3">
      <c r="B92" s="105"/>
      <c r="C92" s="51" t="s">
        <v>168</v>
      </c>
      <c r="D92" s="52">
        <v>0.8</v>
      </c>
      <c r="E92" s="116"/>
      <c r="F92" s="135"/>
      <c r="G92" s="136"/>
      <c r="H92" s="106"/>
      <c r="J92" s="107"/>
      <c r="K92" s="108"/>
      <c r="L92" s="137"/>
      <c r="M92" s="138"/>
      <c r="N92" s="109"/>
    </row>
    <row r="93" spans="2:14" x14ac:dyDescent="0.3">
      <c r="B93" s="105"/>
      <c r="C93" s="51" t="s">
        <v>170</v>
      </c>
      <c r="D93" s="52">
        <v>0.2</v>
      </c>
      <c r="E93" s="116"/>
      <c r="F93" s="135"/>
      <c r="G93" s="136"/>
      <c r="H93" s="106"/>
      <c r="J93" s="107"/>
      <c r="K93" s="108"/>
      <c r="L93" s="137"/>
      <c r="M93" s="138"/>
      <c r="N93" s="109"/>
    </row>
    <row r="94" spans="2:14" x14ac:dyDescent="0.3">
      <c r="B94" s="105"/>
      <c r="C94" s="116"/>
      <c r="D94" s="139">
        <f>SUM(D92:D93)</f>
        <v>1</v>
      </c>
      <c r="E94" s="116"/>
      <c r="F94" s="140"/>
      <c r="G94" s="141"/>
      <c r="H94" s="106"/>
      <c r="J94" s="107"/>
      <c r="K94" s="108"/>
      <c r="L94" s="142"/>
      <c r="M94" s="143"/>
      <c r="N94" s="109"/>
    </row>
    <row r="95" spans="2:14" x14ac:dyDescent="0.3">
      <c r="B95" s="144"/>
      <c r="C95" s="145"/>
      <c r="D95" s="145"/>
      <c r="E95" s="145"/>
      <c r="F95" s="145"/>
      <c r="G95" s="145"/>
      <c r="H95" s="146"/>
      <c r="J95" s="147"/>
      <c r="K95" s="148"/>
      <c r="L95" s="148"/>
      <c r="M95" s="148"/>
      <c r="N95" s="149"/>
    </row>
  </sheetData>
  <conditionalFormatting sqref="L19">
    <cfRule type="cellIs" dxfId="6" priority="8" operator="equal">
      <formula>"OK"</formula>
    </cfRule>
  </conditionalFormatting>
  <conditionalFormatting sqref="C23">
    <cfRule type="cellIs" dxfId="5" priority="7" operator="equal">
      <formula>"OK"</formula>
    </cfRule>
  </conditionalFormatting>
  <conditionalFormatting sqref="F39">
    <cfRule type="expression" dxfId="4" priority="6">
      <formula>$E$39="Relative"</formula>
    </cfRule>
  </conditionalFormatting>
  <conditionalFormatting sqref="F40">
    <cfRule type="expression" dxfId="3" priority="5">
      <formula>$E40="Relative"</formula>
    </cfRule>
  </conditionalFormatting>
  <conditionalFormatting sqref="F41:F49">
    <cfRule type="expression" dxfId="2" priority="4">
      <formula>E41="Relative"</formula>
    </cfRule>
  </conditionalFormatting>
  <conditionalFormatting sqref="C58">
    <cfRule type="cellIs" dxfId="1" priority="3" operator="equal">
      <formula>"OK"</formula>
    </cfRule>
  </conditionalFormatting>
  <conditionalFormatting sqref="K71">
    <cfRule type="cellIs" dxfId="0" priority="1" operator="equal">
      <formula>"OK"</formula>
    </cfRule>
  </conditionalFormatting>
  <dataValidations count="5">
    <dataValidation type="list" allowBlank="1" showInputMessage="1" showErrorMessage="1" sqref="E39:E52">
      <formula1>"Relative,Absolute"</formula1>
    </dataValidation>
    <dataValidation type="list" allowBlank="1" showInputMessage="1" showErrorMessage="1" sqref="E53:E57">
      <formula1>"Relative"</formula1>
    </dataValidation>
    <dataValidation type="list" allowBlank="1" showInputMessage="1" showErrorMessage="1" sqref="G70:G72">
      <formula1>"1,2,3,4,5"</formula1>
    </dataValidation>
    <dataValidation type="list" allowBlank="1" showInputMessage="1" showErrorMessage="1" sqref="D76:D81">
      <formula1>$C$64:$C$67</formula1>
    </dataValidation>
    <dataValidation type="list" allowBlank="1" showInputMessage="1" showErrorMessage="1" sqref="E76:E81">
      <formula1>$C$70:$C$73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18</xdr:row>
                    <xdr:rowOff>60960</xdr:rowOff>
                  </from>
                  <to>
                    <xdr:col>6</xdr:col>
                    <xdr:colOff>1356360</xdr:colOff>
                    <xdr:row>21</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53</xdr:row>
                    <xdr:rowOff>68580</xdr:rowOff>
                  </from>
                  <to>
                    <xdr:col>6</xdr:col>
                    <xdr:colOff>1341120</xdr:colOff>
                    <xdr:row>56</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90</xdr:row>
                    <xdr:rowOff>76200</xdr:rowOff>
                  </from>
                  <to>
                    <xdr:col>6</xdr:col>
                    <xdr:colOff>1348740</xdr:colOff>
                    <xdr:row>93</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99060</xdr:colOff>
                    <xdr:row>90</xdr:row>
                    <xdr:rowOff>60960</xdr:rowOff>
                  </from>
                  <to>
                    <xdr:col>12</xdr:col>
                    <xdr:colOff>1051560</xdr:colOff>
                    <xdr:row>93</xdr:row>
                    <xdr:rowOff>106680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53</xdr:row>
                    <xdr:rowOff>30480</xdr:rowOff>
                  </from>
                  <to>
                    <xdr:col>12</xdr:col>
                    <xdr:colOff>1059180</xdr:colOff>
                    <xdr:row>56</xdr:row>
                    <xdr:rowOff>144780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C14:C22</xm:sqref>
        </x14:dataValidation>
        <x14:dataValidation type="list" allowBlank="1" showInputMessage="1" showErrorMessage="1">
          <x14:formula1>
            <xm:f>Ref!$A$2:$A$38</xm:f>
          </x14:formula1>
          <xm:sqref>C13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24" sqref="B24"/>
    </sheetView>
  </sheetViews>
  <sheetFormatPr defaultRowHeight="14.4" x14ac:dyDescent="0.3"/>
  <cols>
    <col min="1" max="1" width="11.21875" bestFit="1" customWidth="1"/>
    <col min="2" max="2" width="11" bestFit="1" customWidth="1"/>
  </cols>
  <sheetData>
    <row r="1" spans="1:2" x14ac:dyDescent="0.3">
      <c r="A1" s="1" t="s">
        <v>212</v>
      </c>
      <c r="B1" s="1" t="s">
        <v>211</v>
      </c>
    </row>
    <row r="2" spans="1:2" x14ac:dyDescent="0.3">
      <c r="A2" t="s">
        <v>106</v>
      </c>
      <c r="B2" s="2">
        <f>+Input!M13</f>
        <v>0.2</v>
      </c>
    </row>
    <row r="3" spans="1:2" x14ac:dyDescent="0.3">
      <c r="A3" t="s">
        <v>107</v>
      </c>
      <c r="B3" s="2">
        <f>+Input!M14</f>
        <v>0.2</v>
      </c>
    </row>
    <row r="4" spans="1:2" x14ac:dyDescent="0.3">
      <c r="A4" t="s">
        <v>108</v>
      </c>
      <c r="B4" s="2">
        <f>+Input!M15</f>
        <v>0.25</v>
      </c>
    </row>
    <row r="5" spans="1:2" x14ac:dyDescent="0.3">
      <c r="A5" t="s">
        <v>109</v>
      </c>
      <c r="B5" s="2">
        <f>+Input!M16</f>
        <v>0.25</v>
      </c>
    </row>
    <row r="6" spans="1:2" x14ac:dyDescent="0.3">
      <c r="A6" t="s">
        <v>110</v>
      </c>
      <c r="B6" s="2">
        <f>+Input!M17</f>
        <v>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M16" sqref="M16"/>
    </sheetView>
  </sheetViews>
  <sheetFormatPr defaultRowHeight="14.4" x14ac:dyDescent="0.3"/>
  <cols>
    <col min="1" max="1" width="8.88671875" style="22"/>
    <col min="2" max="2" width="21.44140625" style="22" bestFit="1" customWidth="1"/>
    <col min="3" max="16384" width="8.88671875" style="22"/>
  </cols>
  <sheetData>
    <row r="1" spans="1:3" x14ac:dyDescent="0.3">
      <c r="A1" s="21" t="s">
        <v>152</v>
      </c>
      <c r="B1" s="21" t="s">
        <v>189</v>
      </c>
      <c r="C1" s="21" t="s">
        <v>123</v>
      </c>
    </row>
    <row r="2" spans="1:3" x14ac:dyDescent="0.3">
      <c r="A2" s="22" t="s">
        <v>190</v>
      </c>
      <c r="B2" s="22" t="s">
        <v>178</v>
      </c>
      <c r="C2" s="23">
        <f>+Input!M67</f>
        <v>0.6</v>
      </c>
    </row>
    <row r="3" spans="1:3" x14ac:dyDescent="0.3">
      <c r="A3" s="22" t="s">
        <v>191</v>
      </c>
      <c r="B3" s="22" t="s">
        <v>180</v>
      </c>
      <c r="C3" s="23">
        <f>+Input!M68</f>
        <v>0.1</v>
      </c>
    </row>
    <row r="4" spans="1:3" x14ac:dyDescent="0.3">
      <c r="A4" s="22" t="s">
        <v>192</v>
      </c>
      <c r="B4" s="22" t="s">
        <v>181</v>
      </c>
      <c r="C4" s="23">
        <f>+Input!M69</f>
        <v>0.2</v>
      </c>
    </row>
    <row r="5" spans="1:3" x14ac:dyDescent="0.3">
      <c r="A5" s="22" t="s">
        <v>193</v>
      </c>
      <c r="B5" s="22" t="s">
        <v>182</v>
      </c>
      <c r="C5" s="23">
        <f>+Input!M70</f>
        <v>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0"/>
  <sheetViews>
    <sheetView workbookViewId="0">
      <selection activeCell="C24" sqref="C24"/>
    </sheetView>
  </sheetViews>
  <sheetFormatPr defaultRowHeight="14.4" x14ac:dyDescent="0.3"/>
  <cols>
    <col min="1" max="1" width="10.77734375" style="15" bestFit="1" customWidth="1"/>
    <col min="2" max="2" width="49" style="15" bestFit="1" customWidth="1"/>
    <col min="3" max="3" width="62.5546875" style="15" customWidth="1"/>
    <col min="4" max="5" width="10.33203125" style="15" customWidth="1"/>
    <col min="6" max="6" width="15.33203125" style="15" customWidth="1"/>
    <col min="7" max="8" width="8.88671875" style="15"/>
    <col min="9" max="9" width="51.6640625" style="15" bestFit="1" customWidth="1"/>
    <col min="10" max="16384" width="8.88671875" style="15"/>
  </cols>
  <sheetData>
    <row r="1" spans="1:9" x14ac:dyDescent="0.3">
      <c r="A1" s="14" t="s">
        <v>118</v>
      </c>
      <c r="B1" s="14" t="s">
        <v>124</v>
      </c>
      <c r="C1" s="14" t="s">
        <v>119</v>
      </c>
      <c r="D1" s="14" t="s">
        <v>120</v>
      </c>
      <c r="E1" s="14" t="s">
        <v>121</v>
      </c>
      <c r="F1" s="14" t="s">
        <v>123</v>
      </c>
      <c r="G1" s="14" t="s">
        <v>122</v>
      </c>
      <c r="H1" s="14" t="s">
        <v>126</v>
      </c>
      <c r="I1" s="14" t="s">
        <v>125</v>
      </c>
    </row>
    <row r="2" spans="1:9" x14ac:dyDescent="0.3">
      <c r="A2" s="3" t="s">
        <v>242</v>
      </c>
      <c r="B2" s="3" t="s">
        <v>242</v>
      </c>
      <c r="C2" s="16" t="s">
        <v>223</v>
      </c>
      <c r="D2" s="17">
        <v>1</v>
      </c>
      <c r="E2" s="17">
        <v>100</v>
      </c>
      <c r="F2" s="18">
        <f>+Input!D39</f>
        <v>0.03</v>
      </c>
      <c r="G2" s="18" t="str">
        <f>Input!E39</f>
        <v>Relative</v>
      </c>
      <c r="H2" s="19">
        <f>+Input!F39</f>
        <v>50</v>
      </c>
      <c r="I2" s="15" t="s">
        <v>128</v>
      </c>
    </row>
    <row r="3" spans="1:9" x14ac:dyDescent="0.3">
      <c r="A3" s="3" t="s">
        <v>243</v>
      </c>
      <c r="B3" s="3" t="s">
        <v>243</v>
      </c>
      <c r="C3" s="16" t="s">
        <v>224</v>
      </c>
      <c r="D3" s="17">
        <v>1</v>
      </c>
      <c r="E3" s="17">
        <v>100</v>
      </c>
      <c r="F3" s="18">
        <f>+Input!D40</f>
        <v>0.01</v>
      </c>
      <c r="G3" s="18" t="str">
        <f>Input!E40</f>
        <v>Relative</v>
      </c>
      <c r="H3" s="19">
        <f>+Input!F40</f>
        <v>50</v>
      </c>
      <c r="I3" s="15" t="s">
        <v>128</v>
      </c>
    </row>
    <row r="4" spans="1:9" x14ac:dyDescent="0.3">
      <c r="A4" s="3" t="s">
        <v>244</v>
      </c>
      <c r="B4" s="3" t="s">
        <v>244</v>
      </c>
      <c r="C4" s="15" t="s">
        <v>225</v>
      </c>
      <c r="D4" s="17">
        <v>0</v>
      </c>
      <c r="E4" s="17">
        <v>10</v>
      </c>
      <c r="F4" s="18">
        <f>+Input!D41</f>
        <v>0.15</v>
      </c>
      <c r="G4" s="18" t="str">
        <f>Input!E41</f>
        <v>Relative</v>
      </c>
      <c r="H4" s="19">
        <f>+Input!F41</f>
        <v>0.5</v>
      </c>
      <c r="I4" s="15" t="s">
        <v>129</v>
      </c>
    </row>
    <row r="5" spans="1:9" x14ac:dyDescent="0.3">
      <c r="A5" s="3" t="s">
        <v>245</v>
      </c>
      <c r="B5" s="3" t="s">
        <v>245</v>
      </c>
      <c r="C5" s="15" t="s">
        <v>226</v>
      </c>
      <c r="D5" s="17">
        <v>0</v>
      </c>
      <c r="E5" s="17">
        <v>10</v>
      </c>
      <c r="F5" s="18">
        <f>+Input!D42</f>
        <v>0.1</v>
      </c>
      <c r="G5" s="18" t="str">
        <f>Input!E42</f>
        <v>Relative</v>
      </c>
      <c r="H5" s="19">
        <f>+Input!F42</f>
        <v>0.5</v>
      </c>
      <c r="I5" s="15" t="s">
        <v>129</v>
      </c>
    </row>
    <row r="6" spans="1:9" x14ac:dyDescent="0.3">
      <c r="A6" s="3" t="s">
        <v>246</v>
      </c>
      <c r="B6" s="3" t="s">
        <v>246</v>
      </c>
      <c r="C6" s="15" t="s">
        <v>227</v>
      </c>
      <c r="D6" s="17">
        <v>0</v>
      </c>
      <c r="E6" s="17">
        <v>10</v>
      </c>
      <c r="F6" s="18">
        <f>+Input!D43</f>
        <v>0.05</v>
      </c>
      <c r="G6" s="18" t="str">
        <f>Input!E43</f>
        <v>Relative</v>
      </c>
      <c r="H6" s="19">
        <f>+Input!F43</f>
        <v>0.5</v>
      </c>
      <c r="I6" s="15" t="s">
        <v>129</v>
      </c>
    </row>
    <row r="7" spans="1:9" x14ac:dyDescent="0.3">
      <c r="A7" s="3" t="s">
        <v>247</v>
      </c>
      <c r="B7" s="3" t="s">
        <v>247</v>
      </c>
      <c r="C7" s="15" t="s">
        <v>228</v>
      </c>
      <c r="D7" s="17">
        <v>0</v>
      </c>
      <c r="E7" s="17">
        <v>10</v>
      </c>
      <c r="F7" s="18">
        <f>+Input!D44</f>
        <v>0.1</v>
      </c>
      <c r="G7" s="18" t="str">
        <f>Input!E44</f>
        <v>Relative</v>
      </c>
      <c r="H7" s="19">
        <f>+Input!F44</f>
        <v>0.5</v>
      </c>
      <c r="I7" s="15" t="s">
        <v>129</v>
      </c>
    </row>
    <row r="8" spans="1:9" x14ac:dyDescent="0.3">
      <c r="A8" s="3" t="s">
        <v>248</v>
      </c>
      <c r="B8" s="3" t="s">
        <v>248</v>
      </c>
      <c r="C8" s="15" t="s">
        <v>229</v>
      </c>
      <c r="D8" s="17">
        <v>0</v>
      </c>
      <c r="E8" s="17">
        <v>10</v>
      </c>
      <c r="F8" s="18">
        <f>+Input!D45</f>
        <v>0.05</v>
      </c>
      <c r="G8" s="18" t="str">
        <f>Input!E45</f>
        <v>Relative</v>
      </c>
      <c r="H8" s="19">
        <f>+Input!F45</f>
        <v>0.5</v>
      </c>
      <c r="I8" s="15" t="s">
        <v>129</v>
      </c>
    </row>
    <row r="9" spans="1:9" x14ac:dyDescent="0.3">
      <c r="A9" s="3" t="s">
        <v>249</v>
      </c>
      <c r="B9" s="3" t="s">
        <v>249</v>
      </c>
      <c r="C9" s="15" t="s">
        <v>230</v>
      </c>
      <c r="D9" s="17">
        <v>0</v>
      </c>
      <c r="E9" s="17">
        <v>10</v>
      </c>
      <c r="F9" s="18">
        <f>+Input!D46</f>
        <v>0.03</v>
      </c>
      <c r="G9" s="18" t="str">
        <f>Input!E46</f>
        <v>Relative</v>
      </c>
      <c r="H9" s="19">
        <f>+Input!F46</f>
        <v>0.5</v>
      </c>
      <c r="I9" s="15" t="s">
        <v>129</v>
      </c>
    </row>
    <row r="10" spans="1:9" x14ac:dyDescent="0.3">
      <c r="A10" s="3" t="s">
        <v>250</v>
      </c>
      <c r="B10" s="3" t="s">
        <v>250</v>
      </c>
      <c r="C10" s="3" t="s">
        <v>231</v>
      </c>
      <c r="D10" s="17">
        <v>0</v>
      </c>
      <c r="E10" s="17">
        <v>10</v>
      </c>
      <c r="F10" s="18">
        <f>+Input!D47</f>
        <v>0.1</v>
      </c>
      <c r="G10" s="18" t="str">
        <f>Input!E47</f>
        <v>Relative</v>
      </c>
      <c r="H10" s="19">
        <f>+Input!F47</f>
        <v>0.5</v>
      </c>
      <c r="I10" s="15" t="s">
        <v>129</v>
      </c>
    </row>
    <row r="11" spans="1:9" x14ac:dyDescent="0.3">
      <c r="A11" s="3" t="s">
        <v>251</v>
      </c>
      <c r="B11" s="3" t="s">
        <v>251</v>
      </c>
      <c r="C11" s="15" t="s">
        <v>232</v>
      </c>
      <c r="D11" s="17">
        <v>0</v>
      </c>
      <c r="E11" s="17">
        <v>10</v>
      </c>
      <c r="F11" s="18">
        <f>+Input!D48</f>
        <v>0.05</v>
      </c>
      <c r="G11" s="18" t="str">
        <f>Input!E48</f>
        <v>Relative</v>
      </c>
      <c r="H11" s="19">
        <f>+Input!F48</f>
        <v>0.5</v>
      </c>
      <c r="I11" s="15" t="s">
        <v>129</v>
      </c>
    </row>
    <row r="12" spans="1:9" x14ac:dyDescent="0.3">
      <c r="A12" s="3" t="s">
        <v>252</v>
      </c>
      <c r="B12" s="3" t="s">
        <v>252</v>
      </c>
      <c r="C12" s="15" t="s">
        <v>233</v>
      </c>
      <c r="D12" s="17">
        <v>0</v>
      </c>
      <c r="E12" s="17">
        <v>10</v>
      </c>
      <c r="F12" s="18">
        <f>+Input!D49</f>
        <v>0.03</v>
      </c>
      <c r="G12" s="18" t="str">
        <f>Input!E49</f>
        <v>Relative</v>
      </c>
      <c r="H12" s="19">
        <f>+Input!F49</f>
        <v>0.5</v>
      </c>
      <c r="I12" s="15" t="s">
        <v>129</v>
      </c>
    </row>
    <row r="13" spans="1:9" x14ac:dyDescent="0.3">
      <c r="A13" s="3" t="s">
        <v>253</v>
      </c>
      <c r="B13" s="3" t="s">
        <v>253</v>
      </c>
      <c r="C13" s="15" t="s">
        <v>234</v>
      </c>
      <c r="D13" s="17">
        <v>1</v>
      </c>
      <c r="E13" s="17">
        <v>100</v>
      </c>
      <c r="F13" s="18">
        <f>+Input!D50</f>
        <v>0.03</v>
      </c>
      <c r="G13" s="18" t="str">
        <f>Input!E50</f>
        <v>Relative</v>
      </c>
      <c r="H13" s="19">
        <f>+Input!F50</f>
        <v>30</v>
      </c>
      <c r="I13" s="15" t="s">
        <v>154</v>
      </c>
    </row>
    <row r="14" spans="1:9" x14ac:dyDescent="0.3">
      <c r="A14" s="3" t="s">
        <v>254</v>
      </c>
      <c r="B14" s="3" t="s">
        <v>254</v>
      </c>
      <c r="C14" s="15" t="s">
        <v>235</v>
      </c>
      <c r="D14" s="17">
        <v>1</v>
      </c>
      <c r="E14" s="17">
        <v>100</v>
      </c>
      <c r="F14" s="18">
        <f>+Input!D51</f>
        <v>0.02</v>
      </c>
      <c r="G14" s="18" t="str">
        <f>Input!E51</f>
        <v>Relative</v>
      </c>
      <c r="H14" s="19">
        <f>+Input!F51</f>
        <v>30</v>
      </c>
      <c r="I14" s="15" t="s">
        <v>154</v>
      </c>
    </row>
    <row r="15" spans="1:9" x14ac:dyDescent="0.3">
      <c r="A15" s="3" t="s">
        <v>255</v>
      </c>
      <c r="B15" s="3" t="s">
        <v>255</v>
      </c>
      <c r="C15" s="15" t="s">
        <v>236</v>
      </c>
      <c r="D15" s="17">
        <v>1</v>
      </c>
      <c r="E15" s="17">
        <v>100</v>
      </c>
      <c r="F15" s="18">
        <f>+Input!D52</f>
        <v>0.01</v>
      </c>
      <c r="G15" s="18" t="str">
        <f>Input!E52</f>
        <v>Relative</v>
      </c>
      <c r="H15" s="19">
        <f>+Input!F52</f>
        <v>30</v>
      </c>
      <c r="I15" s="15" t="s">
        <v>154</v>
      </c>
    </row>
    <row r="16" spans="1:9" x14ac:dyDescent="0.3">
      <c r="A16" s="3" t="s">
        <v>256</v>
      </c>
      <c r="B16" s="3" t="s">
        <v>256</v>
      </c>
      <c r="C16" s="16" t="s">
        <v>237</v>
      </c>
      <c r="D16" s="17">
        <v>1</v>
      </c>
      <c r="E16" s="17">
        <v>500</v>
      </c>
      <c r="F16" s="18">
        <f>+Input!D53</f>
        <v>0.06</v>
      </c>
      <c r="G16" s="18" t="str">
        <f>Input!E53</f>
        <v>Relative</v>
      </c>
      <c r="H16" s="19">
        <f>+Input!F53</f>
        <v>0</v>
      </c>
      <c r="I16" s="15" t="s">
        <v>127</v>
      </c>
    </row>
    <row r="17" spans="1:9" x14ac:dyDescent="0.3">
      <c r="A17" s="3" t="s">
        <v>257</v>
      </c>
      <c r="B17" s="3" t="s">
        <v>257</v>
      </c>
      <c r="C17" s="15" t="s">
        <v>238</v>
      </c>
      <c r="D17" s="17">
        <v>1</v>
      </c>
      <c r="E17" s="17">
        <v>500</v>
      </c>
      <c r="F17" s="18">
        <f>+Input!D54</f>
        <v>0.04</v>
      </c>
      <c r="G17" s="18" t="str">
        <f>Input!E54</f>
        <v>Relative</v>
      </c>
      <c r="H17" s="19">
        <f>+Input!F54</f>
        <v>0</v>
      </c>
      <c r="I17" s="15" t="s">
        <v>127</v>
      </c>
    </row>
    <row r="18" spans="1:9" x14ac:dyDescent="0.3">
      <c r="A18" s="3" t="s">
        <v>258</v>
      </c>
      <c r="B18" s="3" t="s">
        <v>258</v>
      </c>
      <c r="C18" s="15" t="s">
        <v>239</v>
      </c>
      <c r="D18" s="17">
        <v>1</v>
      </c>
      <c r="E18" s="17">
        <v>500</v>
      </c>
      <c r="F18" s="18">
        <f>+Input!D55</f>
        <v>0.02</v>
      </c>
      <c r="G18" s="18" t="str">
        <f>Input!E55</f>
        <v>Relative</v>
      </c>
      <c r="H18" s="19">
        <f>+Input!F55</f>
        <v>0</v>
      </c>
      <c r="I18" s="15" t="s">
        <v>127</v>
      </c>
    </row>
    <row r="19" spans="1:9" x14ac:dyDescent="0.3">
      <c r="A19" s="3" t="s">
        <v>259</v>
      </c>
      <c r="B19" s="3" t="s">
        <v>259</v>
      </c>
      <c r="C19" s="15" t="s">
        <v>240</v>
      </c>
      <c r="D19" s="17">
        <v>0</v>
      </c>
      <c r="E19" s="17">
        <v>1</v>
      </c>
      <c r="F19" s="18">
        <f>+Input!D56</f>
        <v>0.02</v>
      </c>
      <c r="G19" s="18" t="str">
        <f>Input!E56</f>
        <v>Relative</v>
      </c>
      <c r="H19" s="19">
        <f>+Input!F56</f>
        <v>0</v>
      </c>
    </row>
    <row r="20" spans="1:9" x14ac:dyDescent="0.3">
      <c r="A20" s="3" t="s">
        <v>156</v>
      </c>
      <c r="B20" s="3" t="s">
        <v>156</v>
      </c>
      <c r="C20" s="15" t="s">
        <v>241</v>
      </c>
      <c r="D20" s="17">
        <v>0</v>
      </c>
      <c r="E20" s="17">
        <v>5</v>
      </c>
      <c r="F20" s="18">
        <f>+Input!D57</f>
        <v>0.1</v>
      </c>
      <c r="G20" s="18" t="str">
        <f>Input!E57</f>
        <v>Relative</v>
      </c>
      <c r="H20" s="19">
        <f>+Input!F57</f>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1"/>
  <sheetViews>
    <sheetView workbookViewId="0">
      <selection activeCell="M11" sqref="M11"/>
    </sheetView>
  </sheetViews>
  <sheetFormatPr defaultRowHeight="14.4" x14ac:dyDescent="0.3"/>
  <cols>
    <col min="1" max="1" width="10.5546875" style="151" bestFit="1" customWidth="1"/>
    <col min="2" max="2" width="11" style="151" bestFit="1" customWidth="1"/>
    <col min="3" max="3" width="4.5546875" style="151" bestFit="1" customWidth="1"/>
    <col min="4" max="4" width="2.21875" style="151" bestFit="1" customWidth="1"/>
    <col min="5" max="16384" width="8.88671875" style="151"/>
  </cols>
  <sheetData>
    <row r="1" spans="1:5" x14ac:dyDescent="0.3">
      <c r="A1" s="150" t="s">
        <v>74</v>
      </c>
      <c r="B1" s="150" t="s">
        <v>75</v>
      </c>
      <c r="C1" s="150" t="s">
        <v>76</v>
      </c>
      <c r="D1" s="150" t="s">
        <v>77</v>
      </c>
      <c r="E1" s="150" t="s">
        <v>153</v>
      </c>
    </row>
    <row r="2" spans="1:5" x14ac:dyDescent="0.3">
      <c r="A2" s="151" t="s">
        <v>96</v>
      </c>
      <c r="B2" s="151" t="str">
        <f t="shared" ref="B2:B11" si="0">"__"&amp;LEFT(E2,8)</f>
        <v>__hhsize_c</v>
      </c>
      <c r="C2" s="152">
        <f>Input!D13</f>
        <v>0.05</v>
      </c>
      <c r="D2" s="151">
        <f>VLOOKUP(Input!C13,Ref!$A$2:$C$38,3,0)</f>
        <v>0</v>
      </c>
      <c r="E2" s="151" t="str">
        <f>VLOOKUP(Input!C13,Ref!$A$2:$B$38,2,0)</f>
        <v>hhsize_cm</v>
      </c>
    </row>
    <row r="3" spans="1:5" x14ac:dyDescent="0.3">
      <c r="A3" s="151" t="s">
        <v>97</v>
      </c>
      <c r="B3" s="151" t="str">
        <f t="shared" si="0"/>
        <v>__roof_1cm</v>
      </c>
      <c r="C3" s="152">
        <f>Input!D14</f>
        <v>0.05</v>
      </c>
      <c r="D3" s="151">
        <f>VLOOKUP(Input!C14,Ref!$A$2:$C$38,3,0)</f>
        <v>1</v>
      </c>
      <c r="E3" s="151" t="str">
        <f>VLOOKUP(Input!C14,Ref!$A$2:$B$38,2,0)</f>
        <v>roof_1cm</v>
      </c>
    </row>
    <row r="4" spans="1:5" x14ac:dyDescent="0.3">
      <c r="A4" s="151" t="s">
        <v>98</v>
      </c>
      <c r="B4" s="151" t="str">
        <f t="shared" si="0"/>
        <v>__water_1c</v>
      </c>
      <c r="C4" s="152">
        <f>Input!D15</f>
        <v>0.2</v>
      </c>
      <c r="D4" s="151">
        <f>VLOOKUP(Input!C15,Ref!$A$2:$C$38,3,0)</f>
        <v>1</v>
      </c>
      <c r="E4" s="151" t="str">
        <f>VLOOKUP(Input!C15,Ref!$A$2:$B$38,2,0)</f>
        <v>water_1cm</v>
      </c>
    </row>
    <row r="5" spans="1:5" x14ac:dyDescent="0.3">
      <c r="A5" s="151" t="s">
        <v>99</v>
      </c>
      <c r="B5" s="151" t="str">
        <f t="shared" si="0"/>
        <v>__toilet_1</v>
      </c>
      <c r="C5" s="152">
        <f>Input!D16</f>
        <v>0.1</v>
      </c>
      <c r="D5" s="151">
        <f>VLOOKUP(Input!C16,Ref!$A$2:$C$38,3,0)</f>
        <v>1</v>
      </c>
      <c r="E5" s="151" t="str">
        <f>VLOOKUP(Input!C16,Ref!$A$2:$B$38,2,0)</f>
        <v>toilet_1cm</v>
      </c>
    </row>
    <row r="6" spans="1:5" x14ac:dyDescent="0.3">
      <c r="A6" s="151" t="s">
        <v>100</v>
      </c>
      <c r="B6" s="151" t="str">
        <f t="shared" si="0"/>
        <v>__edchd_4c</v>
      </c>
      <c r="C6" s="152">
        <f>Input!D17</f>
        <v>0.1</v>
      </c>
      <c r="D6" s="151">
        <f>VLOOKUP(Input!C17,Ref!$A$2:$C$38,3,0)</f>
        <v>1</v>
      </c>
      <c r="E6" s="151" t="str">
        <f>VLOOKUP(Input!C17,Ref!$A$2:$B$38,2,0)</f>
        <v>edchd_4cm</v>
      </c>
    </row>
    <row r="7" spans="1:5" x14ac:dyDescent="0.3">
      <c r="A7" s="151" t="s">
        <v>101</v>
      </c>
      <c r="B7" s="151" t="str">
        <f t="shared" si="0"/>
        <v>__ethnic_c</v>
      </c>
      <c r="C7" s="152">
        <f>Input!D18</f>
        <v>0.05</v>
      </c>
      <c r="D7" s="151">
        <f>VLOOKUP(Input!C18,Ref!$A$2:$C$38,3,0)</f>
        <v>0</v>
      </c>
      <c r="E7" s="151" t="str">
        <f>VLOOKUP(Input!C18,Ref!$A$2:$B$38,2,0)</f>
        <v>ethnic_cm</v>
      </c>
    </row>
    <row r="8" spans="1:5" x14ac:dyDescent="0.3">
      <c r="A8" s="151" t="s">
        <v>102</v>
      </c>
      <c r="B8" s="151" t="str">
        <f t="shared" si="0"/>
        <v>__pelderly</v>
      </c>
      <c r="C8" s="152">
        <f>Input!D19</f>
        <v>0.05</v>
      </c>
      <c r="D8" s="151">
        <f>VLOOKUP(Input!C19,Ref!$A$2:$C$38,3,0)</f>
        <v>0</v>
      </c>
      <c r="E8" s="151" t="str">
        <f>VLOOKUP(Input!C19,Ref!$A$2:$B$38,2,0)</f>
        <v>pelderly_cm</v>
      </c>
    </row>
    <row r="9" spans="1:5" x14ac:dyDescent="0.3">
      <c r="A9" s="151" t="s">
        <v>103</v>
      </c>
      <c r="B9" s="151" t="str">
        <f t="shared" si="0"/>
        <v>__avg_fgt1</v>
      </c>
      <c r="C9" s="152">
        <f>Input!D20</f>
        <v>0.1</v>
      </c>
      <c r="D9" s="151">
        <f>VLOOKUP(Input!C20,Ref!$A$2:$C$38,3,0)</f>
        <v>0</v>
      </c>
      <c r="E9" s="151" t="str">
        <f>VLOOKUP(Input!C20,Ref!$A$2:$B$38,2,0)</f>
        <v>avg_fgt1</v>
      </c>
    </row>
    <row r="10" spans="1:5" x14ac:dyDescent="0.3">
      <c r="A10" s="151" t="s">
        <v>104</v>
      </c>
      <c r="B10" s="151" t="str">
        <f t="shared" si="0"/>
        <v>__avg_gini</v>
      </c>
      <c r="C10" s="152">
        <f>Input!D21</f>
        <v>0.1</v>
      </c>
      <c r="D10" s="151">
        <f>VLOOKUP(Input!C21,Ref!$A$2:$C$38,3,0)</f>
        <v>0</v>
      </c>
      <c r="E10" s="151" t="str">
        <f>VLOOKUP(Input!C21,Ref!$A$2:$B$38,2,0)</f>
        <v>avg_gini</v>
      </c>
    </row>
    <row r="11" spans="1:5" x14ac:dyDescent="0.3">
      <c r="A11" s="151" t="s">
        <v>105</v>
      </c>
      <c r="B11" s="151" t="str">
        <f t="shared" si="0"/>
        <v>__mean</v>
      </c>
      <c r="C11" s="152">
        <f>Input!D22</f>
        <v>0.2</v>
      </c>
      <c r="D11" s="151">
        <f>VLOOKUP(Input!C22,Ref!$A$2:$C$38,3,0)</f>
        <v>1</v>
      </c>
      <c r="E11" s="151" t="str">
        <f>VLOOKUP(Input!C22,Ref!$A$2:$B$38,2,0)</f>
        <v>mean</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7"/>
  <sheetViews>
    <sheetView showGridLines="0" tabSelected="1" workbookViewId="0">
      <selection activeCell="K3" sqref="K3"/>
    </sheetView>
  </sheetViews>
  <sheetFormatPr defaultRowHeight="14.4" x14ac:dyDescent="0.3"/>
  <cols>
    <col min="1" max="1" width="7.109375" bestFit="1" customWidth="1"/>
    <col min="2" max="4" width="13.21875" bestFit="1" customWidth="1"/>
    <col min="5" max="11" width="13.21875" customWidth="1"/>
    <col min="12" max="12" width="13.21875" bestFit="1" customWidth="1"/>
    <col min="13" max="13" width="8.77734375" bestFit="1" customWidth="1"/>
    <col min="14" max="14" width="14.109375" bestFit="1" customWidth="1"/>
    <col min="15" max="15" width="13.21875" bestFit="1" customWidth="1"/>
    <col min="16" max="16" width="11.88671875" bestFit="1" customWidth="1"/>
  </cols>
  <sheetData>
    <row r="1" spans="1:18" x14ac:dyDescent="0.3">
      <c r="A1" s="12" t="s">
        <v>205</v>
      </c>
      <c r="B1" s="6" t="s">
        <v>198</v>
      </c>
      <c r="C1" s="7" t="s">
        <v>203</v>
      </c>
      <c r="D1" s="7" t="s">
        <v>199</v>
      </c>
      <c r="E1" s="7" t="s">
        <v>202</v>
      </c>
      <c r="F1" s="8" t="s">
        <v>200</v>
      </c>
      <c r="G1" s="9" t="s">
        <v>207</v>
      </c>
      <c r="H1" s="9" t="s">
        <v>201</v>
      </c>
      <c r="I1" s="9" t="s">
        <v>209</v>
      </c>
      <c r="J1" s="9" t="s">
        <v>208</v>
      </c>
      <c r="K1" s="9" t="s">
        <v>206</v>
      </c>
      <c r="L1" s="10" t="s">
        <v>196</v>
      </c>
      <c r="M1" s="10" t="s">
        <v>194</v>
      </c>
      <c r="N1" s="10" t="s">
        <v>195</v>
      </c>
      <c r="O1" s="10" t="s">
        <v>204</v>
      </c>
      <c r="P1" s="10" t="s">
        <v>217</v>
      </c>
      <c r="Q1" s="10" t="s">
        <v>218</v>
      </c>
      <c r="R1" s="10" t="s">
        <v>219</v>
      </c>
    </row>
    <row r="2" spans="1:18" x14ac:dyDescent="0.3">
      <c r="A2">
        <v>0</v>
      </c>
      <c r="B2" t="str">
        <f>+Input!C64</f>
        <v>adm_centroids</v>
      </c>
      <c r="C2" t="str">
        <f>+Input!D64</f>
        <v>Pop</v>
      </c>
      <c r="D2">
        <f>+Input!E64</f>
        <v>0</v>
      </c>
      <c r="E2" s="11" t="s">
        <v>261</v>
      </c>
      <c r="F2" t="str">
        <f>+Input!C70</f>
        <v>adm_centroids</v>
      </c>
      <c r="G2" t="str">
        <f>+Input!D70</f>
        <v>Pop</v>
      </c>
      <c r="H2">
        <f>+Input!E70</f>
        <v>1000</v>
      </c>
      <c r="I2">
        <f>+Input!F70</f>
        <v>50</v>
      </c>
      <c r="J2" s="13">
        <f>Input!G70</f>
        <v>1</v>
      </c>
      <c r="K2" s="11" t="s">
        <v>261</v>
      </c>
      <c r="L2" s="2">
        <f>+Input!E86</f>
        <v>0.5</v>
      </c>
      <c r="M2" s="2">
        <f>+Input!E87</f>
        <v>0.25</v>
      </c>
      <c r="N2" s="5">
        <f>+Input!D92</f>
        <v>0.8</v>
      </c>
      <c r="O2" s="5">
        <f>+Input!D93</f>
        <v>0.2</v>
      </c>
      <c r="P2" s="20">
        <f>Input!C76</f>
        <v>1</v>
      </c>
      <c r="Q2" s="20" t="str">
        <f>Input!D76</f>
        <v>adm_centroids</v>
      </c>
      <c r="R2" s="20" t="str">
        <f>Input!E76</f>
        <v>adm_centroids</v>
      </c>
    </row>
    <row r="3" spans="1:18" x14ac:dyDescent="0.3">
      <c r="A3">
        <v>1</v>
      </c>
      <c r="B3">
        <f>+Input!C65</f>
        <v>0</v>
      </c>
      <c r="C3">
        <f>+Input!D65</f>
        <v>0</v>
      </c>
      <c r="D3">
        <f>+Input!E65</f>
        <v>0</v>
      </c>
      <c r="E3" s="11"/>
      <c r="F3" t="str">
        <f>+Input!C71</f>
        <v>Hosptials</v>
      </c>
      <c r="G3" t="str">
        <f>+Input!D71</f>
        <v>Beds</v>
      </c>
      <c r="H3">
        <f>+Input!E71</f>
        <v>10000</v>
      </c>
      <c r="I3">
        <f>+Input!F71</f>
        <v>3</v>
      </c>
      <c r="J3" s="13">
        <f>Input!G71</f>
        <v>5</v>
      </c>
      <c r="K3" s="11" t="s">
        <v>262</v>
      </c>
      <c r="P3" s="20">
        <f>Input!C77</f>
        <v>2</v>
      </c>
      <c r="Q3" s="20" t="str">
        <f>Input!D77</f>
        <v>adm_centroids</v>
      </c>
      <c r="R3" s="20" t="str">
        <f>Input!E77</f>
        <v>Hosptials</v>
      </c>
    </row>
    <row r="4" spans="1:18" x14ac:dyDescent="0.3">
      <c r="A4">
        <v>2</v>
      </c>
      <c r="B4">
        <f>+Input!C66</f>
        <v>0</v>
      </c>
      <c r="C4">
        <f>+Input!D66</f>
        <v>0</v>
      </c>
      <c r="D4">
        <f>+Input!E66</f>
        <v>0</v>
      </c>
      <c r="E4" s="11"/>
      <c r="F4">
        <f>+Input!C72</f>
        <v>0</v>
      </c>
      <c r="G4">
        <f>+Input!D72</f>
        <v>0</v>
      </c>
      <c r="H4">
        <f>+Input!E72</f>
        <v>0</v>
      </c>
      <c r="I4">
        <f>+Input!F72</f>
        <v>0</v>
      </c>
      <c r="J4" s="13">
        <f>Input!G72</f>
        <v>0</v>
      </c>
      <c r="K4" s="11"/>
      <c r="P4" s="20">
        <f>Input!C78</f>
        <v>3</v>
      </c>
      <c r="Q4" s="20">
        <f>Input!D78</f>
        <v>0</v>
      </c>
      <c r="R4" s="20">
        <f>Input!E78</f>
        <v>0</v>
      </c>
    </row>
    <row r="5" spans="1:18" x14ac:dyDescent="0.3">
      <c r="A5">
        <v>3</v>
      </c>
      <c r="L5" t="s">
        <v>197</v>
      </c>
      <c r="P5" s="20">
        <f>Input!C79</f>
        <v>4</v>
      </c>
      <c r="Q5" s="20">
        <f>Input!D79</f>
        <v>0</v>
      </c>
      <c r="R5" s="20">
        <f>Input!E79</f>
        <v>0</v>
      </c>
    </row>
    <row r="6" spans="1:18" x14ac:dyDescent="0.3">
      <c r="A6">
        <v>4</v>
      </c>
      <c r="L6" t="s">
        <v>197</v>
      </c>
      <c r="P6" s="20">
        <f>Input!C80</f>
        <v>5</v>
      </c>
      <c r="Q6" s="20">
        <f>Input!D80</f>
        <v>0</v>
      </c>
      <c r="R6" s="20">
        <f>Input!E80</f>
        <v>0</v>
      </c>
    </row>
    <row r="7" spans="1:18" x14ac:dyDescent="0.3">
      <c r="A7">
        <v>5</v>
      </c>
      <c r="P7" s="20">
        <f>Input!C81</f>
        <v>6</v>
      </c>
      <c r="Q7" s="20">
        <f>Input!D81</f>
        <v>0</v>
      </c>
      <c r="R7" s="20">
        <f>Input!E81</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38"/>
  <sheetViews>
    <sheetView workbookViewId="0">
      <selection activeCell="B24" sqref="B24"/>
    </sheetView>
  </sheetViews>
  <sheetFormatPr defaultRowHeight="14.4" x14ac:dyDescent="0.3"/>
  <cols>
    <col min="1" max="1" width="69.6640625" bestFit="1" customWidth="1"/>
    <col min="2" max="2" width="23.88671875" customWidth="1"/>
    <col min="3" max="3" width="13.88671875" bestFit="1" customWidth="1"/>
  </cols>
  <sheetData>
    <row r="1" spans="1:3" x14ac:dyDescent="0.3">
      <c r="A1" s="4" t="s">
        <v>150</v>
      </c>
      <c r="B1" s="4" t="s">
        <v>152</v>
      </c>
      <c r="C1" s="4" t="s">
        <v>151</v>
      </c>
    </row>
    <row r="2" spans="1:3" x14ac:dyDescent="0.3">
      <c r="A2" s="3" t="s">
        <v>10</v>
      </c>
      <c r="B2" s="3"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Input</vt:lpstr>
      <vt:lpstr>DASH_MIRROR</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Benjamin P. Stewart</cp:lastModifiedBy>
  <dcterms:created xsi:type="dcterms:W3CDTF">2017-07-25T13:57:56Z</dcterms:created>
  <dcterms:modified xsi:type="dcterms:W3CDTF">2017-10-02T17:13:11Z</dcterms:modified>
</cp:coreProperties>
</file>