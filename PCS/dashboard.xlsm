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N3" i="6" l="1"/>
  <c r="O3" i="6"/>
  <c r="P3" i="6"/>
  <c r="N4" i="6"/>
  <c r="O4" i="6"/>
  <c r="P4" i="6"/>
  <c r="N5" i="6"/>
  <c r="O5" i="6"/>
  <c r="P5" i="6"/>
  <c r="N6" i="6"/>
  <c r="O6" i="6"/>
  <c r="P6" i="6"/>
  <c r="N7" i="6"/>
  <c r="O7" i="6"/>
  <c r="P7" i="6"/>
  <c r="O2" i="6"/>
  <c r="P2" i="6"/>
  <c r="N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I3" i="6"/>
  <c r="I4" i="6"/>
  <c r="I2" i="6"/>
  <c r="M2" i="6" l="1"/>
  <c r="L2" i="6"/>
  <c r="K2" i="6"/>
  <c r="J2" i="6"/>
  <c r="E3" i="6"/>
  <c r="F3" i="6"/>
  <c r="G3" i="6"/>
  <c r="H3" i="6"/>
  <c r="E4" i="6"/>
  <c r="F4" i="6"/>
  <c r="G4" i="6"/>
  <c r="H4" i="6"/>
  <c r="F2" i="6"/>
  <c r="G2" i="6"/>
  <c r="H2" i="6"/>
  <c r="E2" i="6"/>
  <c r="B3" i="6"/>
  <c r="C3" i="6"/>
  <c r="D3" i="6"/>
  <c r="B4" i="6"/>
  <c r="C4" i="6"/>
  <c r="D4" i="6"/>
  <c r="C2" i="6"/>
  <c r="D2" i="6"/>
  <c r="B2" i="6"/>
  <c r="K78" i="1" l="1"/>
  <c r="K77" i="1"/>
  <c r="K76" i="1"/>
  <c r="K75" i="1"/>
  <c r="M72" i="1"/>
  <c r="K72" i="1" s="1"/>
  <c r="D89" i="1"/>
  <c r="D95"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4"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4"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70"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0"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70"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70"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70"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6" authorId="0" shapeId="0">
      <text>
        <r>
          <rPr>
            <b/>
            <sz val="9"/>
            <color indexed="81"/>
            <rFont val="Tahoma"/>
            <family val="2"/>
          </rPr>
          <t>Charles Fox:</t>
        </r>
        <r>
          <rPr>
            <sz val="9"/>
            <color indexed="81"/>
            <rFont val="Tahoma"/>
            <family val="2"/>
          </rPr>
          <t xml:space="preserve">
factor contributing to per km cost of driving along the road</t>
        </r>
      </text>
    </comment>
    <comment ref="C93"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4"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<sst xmlns="http://schemas.openxmlformats.org/spreadsheetml/2006/main" count="535" uniqueCount="379">
  <si>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</si>
  <si>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</si>
  <si>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</si>
  <si>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</si>
  <si>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</si>
  <si>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</si>
  <si>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</si>
  <si>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</si>
  <si>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</si>
  <si>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</si>
  <si>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</si>
  <si>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</si>
  <si>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</si>
  <si>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</si>
  <si>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</si>
  <si>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</si>
  <si>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</si>
  <si>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</si>
  <si>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</si>
  <si>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</si>
  <si>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</si>
  <si>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</si>
  <si>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</si>
  <si>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</si>
  <si>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</si>
  <si>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</si>
  <si>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</si>
  <si>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</si>
  <si>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</si>
  <si>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</si>
  <si>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</si>
  <si>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</si>
  <si>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</si>
  <si>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</si>
  <si>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</si>
  <si>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</si>
  <si>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</si>
  <si>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</si>
  <si>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</si>
  <si>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</si>
  <si>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</si>
  <si>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</si>
  <si>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</si>
  <si>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</si>
  <si>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</si>
  <si>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</si>
  <si>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</si>
  <si>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</si>
  <si>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</si>
  <si>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</si>
  <si>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</si>
  <si>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</si>
  <si>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</si>
  <si>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</si>
  <si>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</si>
  <si>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</si>
  <si>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</si>
  <si>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</si>
  <si>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</si>
  <si>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</si>
  <si>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</si>
  <si>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</si>
  <si>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</si>
  <si>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</si>
  <si>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</si>
  <si>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</si>
  <si>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</si>
  <si>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</si>
  <si>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</si>
  <si>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</si>
  <si>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</si>
  <si>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</si>
  <si>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</si>
  <si>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</si>
  <si>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</si>
  <si>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</si>
  <si>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</si>
  <si>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</si>
  <si>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</si>
  <si>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</si>
  <si>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</si>
  <si>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</si>
  <si>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</si>
  <si>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</si>
  <si>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</si>
  <si>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</si>
  <si>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</si>
  <si>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</si>
  <si>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</si>
  <si>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</si>
  <si>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</si>
  <si>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</si>
  <si>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</si>
  <si>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</si>
  <si>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</si>
  <si>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</si>
  <si>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</si>
  <si>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</si>
  <si>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</si>
  <si>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</si>
  <si>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</si>
  <si>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</si>
  <si>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</si>
  <si>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</si>
  <si>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</si>
  <si>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</si>
  <si>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</si>
  <si>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</si>
  <si>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</si>
  <si>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</si>
  <si>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</si>
  <si>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</si>
  <si>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</si>
  <si>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</si>
  <si>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</si>
  <si>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</si>
  <si>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</si>
  <si>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</si>
  <si>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</si>
  <si>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</si>
  <si>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</si>
  <si>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</si>
  <si>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</si>
  <si>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</si>
  <si>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</si>
  <si>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</si>
  <si>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</si>
  <si>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</si>
  <si>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</si>
  <si>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</si>
  <si>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</si>
  <si>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</si>
  <si>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</si>
  <si>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</si>
  <si>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</si>
  <si>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</si>
  <si>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</si>
  <si>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</si>
  <si>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</si>
  <si>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</si>
  <si>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</si>
  <si>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</si>
  <si>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</si>
  <si>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</si>
  <si>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</si>
  <si>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</si>
  <si>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</si>
  <si>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</si>
  <si>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</si>
  <si>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</si>
  <si>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</si>
  <si>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</si>
  <si>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</si>
  <si>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</si>
  <si>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</si>
  <si>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</si>
  <si>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</si>
  <si>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</si>
  <si>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Destinations</t>
  </si>
  <si>
    <t>Name</t>
  </si>
  <si>
    <t>Scalar Column</t>
  </si>
  <si>
    <t>Penalty</t>
  </si>
  <si>
    <t>Annual Trips</t>
  </si>
  <si>
    <t>adm_centroids</t>
  </si>
  <si>
    <t>Pop</t>
  </si>
  <si>
    <t>Beds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</si>
  <si>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</si>
  <si>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</si>
  <si>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</si>
  <si>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</si>
  <si>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</si>
  <si>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</si>
  <si>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</si>
  <si>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</si>
  <si>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</si>
  <si>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</si>
  <si>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</si>
  <si>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</si>
  <si>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</si>
  <si>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</si>
  <si>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</si>
  <si>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</si>
  <si>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</si>
  <si>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</si>
  <si>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</si>
  <si>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</si>
  <si>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</si>
  <si>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</si>
  <si>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</si>
  <si>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</si>
  <si>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</si>
  <si>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</si>
  <si>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</si>
  <si>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</si>
  <si>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</si>
  <si>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</si>
  <si>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</si>
  <si>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</si>
  <si>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OPenalty</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</si>
  <si>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</si>
  <si>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</si>
  <si>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</si>
  <si>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</si>
  <si>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</si>
  <si>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</si>
  <si>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</si>
  <si>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</si>
  <si>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</si>
  <si>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</si>
  <si>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</si>
  <si>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</si>
  <si>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</si>
  <si>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</si>
  <si>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</si>
  <si>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</si>
  <si>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</si>
  <si>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</si>
  <si>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</si>
  <si>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</si>
  <si>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</si>
  <si>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</si>
  <si>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</si>
  <si>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</si>
  <si>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</si>
  <si>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</si>
  <si>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</si>
  <si>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</si>
  <si>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</si>
  <si>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</si>
  <si>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</si>
  <si>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</si>
  <si>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</si>
  <si>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</si>
  <si>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</si>
  <si>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</si>
  <si>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</si>
  <si>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</si>
  <si>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</si>
  <si>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</si>
  <si>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</si>
  <si>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</si>
  <si>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</si>
  <si>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</si>
  <si>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</si>
  <si>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</si>
  <si>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</si>
  <si>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</si>
  <si>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</si>
  <si>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</si>
  <si>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</si>
  <si>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</si>
  <si>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</si>
  <si>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</si>
  <si>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</si>
  <si>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</si>
  <si>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</si>
  <si>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</si>
  <si>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</si>
  <si>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</si>
  <si>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</si>
  <si>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</si>
  <si>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</si>
  <si>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</si>
  <si>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</si>
  <si>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</si>
  <si>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</si>
  <si>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</si>
  <si>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</si>
  <si>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</si>
  <si>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</si>
  <si>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</si>
  <si>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</si>
  <si>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</si>
  <si>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</si>
  <si>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</si>
  <si>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</si>
  <si>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</si>
  <si>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</si>
  <si>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</si>
  <si>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</si>
  <si>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</si>
  <si>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</si>
  <si>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</si>
  <si>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</si>
  <si>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</si>
  <si>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</si>
  <si>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</si>
  <si>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</si>
  <si>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</si>
  <si>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</si>
  <si>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</si>
  <si>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</si>
  <si>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</si>
  <si>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</si>
  <si>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</si>
  <si>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</si>
  <si>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</si>
  <si>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</si>
  <si>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</si>
  <si>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</si>
  <si>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</si>
  <si>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</si>
  <si>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</si>
  <si>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</si>
  <si>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</si>
  <si>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</si>
  <si>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</si>
  <si>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</si>
  <si>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</si>
  <si>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</si>
  <si>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</si>
  <si>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</si>
  <si>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</si>
  <si>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</si>
  <si>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</si>
  <si>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</si>
  <si>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</si>
  <si>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</si>
  <si>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</si>
  <si>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</si>
  <si>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</si>
  <si>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</si>
  <si>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</si>
  <si>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</si>
  <si>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</si>
  <si>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</si>
  <si>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</si>
  <si>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</si>
  <si>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</si>
  <si>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</si>
  <si>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</si>
  <si>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</si>
  <si>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</si>
  <si>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</si>
  <si>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</si>
  <si>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</si>
  <si>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</si>
  <si>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</si>
  <si>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</si>
  <si>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</si>
  <si>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</si>
  <si>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</si>
  <si>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</si>
  <si>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</si>
  <si>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</si>
  <si>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</si>
  <si>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</si>
  <si>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</si>
  <si>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</si>
  <si>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</si>
  <si>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</si>
  <si>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</si>
  <si>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</si>
  <si>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</si>
  <si>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</si>
  <si>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</si>
  <si>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</si>
  <si>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</si>
  <si>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</si>
  <si>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</si>
  <si>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</si>
  <si>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</si>
  <si>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</si>
  <si>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</si>
  <si>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</si>
  <si>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</si>
  <si>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</si>
  <si>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C:\Users\charl\Documents\GitHub\RoadLabPro_Utils</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</si>
  <si>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</si>
  <si>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</si>
  <si>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</si>
  <si>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</si>
  <si>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</si>
  <si>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</si>
  <si>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</si>
  <si>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Hospitals</t>
  </si>
  <si>
    <t>District</t>
  </si>
  <si>
    <t>YD</t>
  </si>
  <si>
    <t>DISTRICT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</si>
</sst>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s>
  <cellStyleXfs count="2">
    <xf numFmtId="0" fontId="0" fillId="0" borderId="0"/>
    <xf numFmtId="9" fontId="5" fillId="0" borderId="0" applyFont="0" applyFill="0" applyBorder="0" applyAlignment="0" applyProtection="0"/>
  </cellStyleXfs>
  <cellXfs count="212">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52" xfId="0" applyFont="1" applyBorder="1"/>
    <xf numFmtId="0" fontId="12" fillId="0" borderId="53"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6"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80" xfId="0" applyFont="1" applyFill="1" applyBorder="1" applyAlignment="1">
      <alignment horizontal="left"/>
    </xf>
    <xf numFmtId="0" fontId="17" fillId="0" borderId="81" xfId="0" applyFont="1" applyFill="1" applyBorder="1" applyAlignment="1">
      <alignment horizontal="left"/>
    </xf>
    <xf numFmtId="0" fontId="20" fillId="0" borderId="82" xfId="0" applyFont="1" applyFill="1" applyBorder="1" applyAlignment="1">
      <alignment horizontal="left"/>
    </xf>
    <xf numFmtId="0" fontId="17" fillId="0" borderId="83" xfId="0" applyFont="1" applyFill="1" applyBorder="1" applyAlignment="1">
      <alignment horizontal="left"/>
    </xf>
    <xf numFmtId="0" fontId="0" fillId="0" borderId="52" xfId="0" applyFont="1" applyBorder="1"/>
    <xf numFmtId="0" fontId="19" fillId="0" borderId="0" xfId="0" applyFont="1" applyFill="1" applyBorder="1"/>
    <xf numFmtId="0" fontId="22" fillId="0" borderId="0" xfId="0" applyFont="1"/>
    <xf numFmtId="9" fontId="21" fillId="19" borderId="84" xfId="0" applyNumberFormat="1" applyFont="1" applyFill="1" applyBorder="1" applyAlignment="1">
      <alignment horizontal="left"/>
    </xf>
    <xf numFmtId="0" fontId="17" fillId="0" borderId="53" xfId="0" applyFont="1" applyBorder="1"/>
    <xf numFmtId="9" fontId="21" fillId="19" borderId="54"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52" xfId="0" applyFont="1" applyBorder="1"/>
    <xf numFmtId="0" fontId="27" fillId="0" borderId="53" xfId="0" applyFont="1" applyBorder="1"/>
    <xf numFmtId="9" fontId="28" fillId="2" borderId="54" xfId="0" applyNumberFormat="1" applyFont="1" applyFill="1" applyBorder="1" applyAlignment="1">
      <alignment horizontal="center"/>
    </xf>
    <xf numFmtId="9" fontId="28" fillId="2" borderId="54"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5" xfId="0" applyFont="1" applyFill="1" applyBorder="1"/>
    <xf numFmtId="0" fontId="27" fillId="3" borderId="56" xfId="0" applyFont="1" applyFill="1" applyBorder="1"/>
    <xf numFmtId="0" fontId="27" fillId="0" borderId="0" xfId="0" applyFont="1" applyFill="1" applyBorder="1"/>
    <xf numFmtId="0" fontId="35" fillId="0" borderId="0" xfId="0" applyFont="1" applyBorder="1" applyAlignment="1">
      <alignment horizontal="right"/>
    </xf>
    <xf numFmtId="0" fontId="27" fillId="3" borderId="57" xfId="0" applyFont="1" applyFill="1" applyBorder="1"/>
    <xf numFmtId="0" fontId="27" fillId="3" borderId="58"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9" xfId="0" applyFont="1" applyFill="1" applyBorder="1"/>
    <xf numFmtId="0" fontId="27" fillId="3" borderId="60"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61" xfId="0" applyNumberFormat="1" applyFont="1" applyFill="1" applyBorder="1" applyAlignment="1">
      <alignment horizontal="center"/>
    </xf>
    <xf numFmtId="0" fontId="27" fillId="6" borderId="62" xfId="0" applyFont="1" applyFill="1" applyBorder="1"/>
    <xf numFmtId="0" fontId="27" fillId="6" borderId="63"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0" fillId="13" borderId="0" xfId="0" applyFont="1" applyFill="1" applyBorder="1" applyAlignment="1">
      <alignment horizontal="center"/>
    </xf>
    <xf numFmtId="0" fontId="30" fillId="13" borderId="0" xfId="0" applyFont="1" applyFill="1" applyAlignment="1">
      <alignment horizontal="center"/>
    </xf>
    <xf numFmtId="1" fontId="27" fillId="0" borderId="0" xfId="0" applyNumberFormat="1" applyFont="1" applyBorder="1"/>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67" fontId="28" fillId="2" borderId="1" xfId="0" applyNumberFormat="1" applyFont="1" applyFill="1" applyBorder="1" applyAlignment="1">
      <alignment horizontal="center"/>
    </xf>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8" fillId="2" borderId="5" xfId="0" applyFont="1" applyFill="1" applyBorder="1" applyAlignment="1">
      <alignment horizontal="left"/>
    </xf>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1" fontId="27" fillId="0" borderId="64" xfId="0" applyNumberFormat="1" applyFont="1" applyBorder="1"/>
    <xf numFmtId="1" fontId="27" fillId="0" borderId="65" xfId="0" applyNumberFormat="1" applyFont="1" applyBorder="1"/>
    <xf numFmtId="0" fontId="27" fillId="14" borderId="70" xfId="0" applyFont="1" applyFill="1" applyBorder="1"/>
    <xf numFmtId="0" fontId="27" fillId="14" borderId="71" xfId="0" applyFont="1" applyFill="1" applyBorder="1"/>
    <xf numFmtId="1" fontId="27" fillId="0" borderId="66" xfId="0" applyNumberFormat="1" applyFont="1" applyBorder="1"/>
    <xf numFmtId="1" fontId="27" fillId="0" borderId="67" xfId="0" applyNumberFormat="1" applyFont="1" applyBorder="1"/>
    <xf numFmtId="0" fontId="27" fillId="14" borderId="72" xfId="0" applyFont="1" applyFill="1" applyBorder="1"/>
    <xf numFmtId="0" fontId="27" fillId="14" borderId="73" xfId="0" applyFont="1" applyFill="1" applyBorder="1"/>
    <xf numFmtId="9" fontId="34" fillId="0" borderId="0" xfId="0" applyNumberFormat="1" applyFont="1" applyBorder="1" applyAlignment="1">
      <alignment horizontal="center"/>
    </xf>
    <xf numFmtId="1" fontId="27" fillId="0" borderId="68" xfId="0" applyNumberFormat="1" applyFont="1" applyBorder="1"/>
    <xf numFmtId="1" fontId="27" fillId="0" borderId="69" xfId="0" applyNumberFormat="1" applyFont="1" applyBorder="1"/>
    <xf numFmtId="0" fontId="27" fillId="14" borderId="74" xfId="0" applyFont="1" applyFill="1" applyBorder="1"/>
    <xf numFmtId="0" fontId="27" fillId="14" borderId="75" xfId="0" applyFont="1" applyFill="1" applyBorder="1"/>
    <xf numFmtId="0" fontId="27" fillId="0" borderId="37" xfId="0" applyFont="1" applyBorder="1"/>
    <xf numFmtId="0" fontId="27" fillId="0" borderId="38" xfId="0" applyFont="1" applyBorder="1"/>
    <xf numFmtId="0" fontId="27" fillId="0" borderId="39" xfId="0" applyFont="1" applyBorder="1"/>
    <xf numFmtId="0" fontId="27" fillId="14" borderId="49" xfId="0" applyFont="1" applyFill="1" applyBorder="1"/>
    <xf numFmtId="0" fontId="27" fillId="14" borderId="50" xfId="0" applyFont="1" applyFill="1" applyBorder="1"/>
    <xf numFmtId="0" fontId="27" fillId="14" borderId="51" xfId="0" applyFont="1" applyFill="1" applyBorder="1"/>
    <xf numFmtId="0" fontId="27" fillId="19" borderId="77" xfId="0" applyFont="1" applyFill="1" applyBorder="1"/>
    <xf numFmtId="0" fontId="27" fillId="19" borderId="78" xfId="0" applyFont="1" applyFill="1" applyBorder="1"/>
    <xf numFmtId="0" fontId="27" fillId="19" borderId="79"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91</xdr:row>
          <xdr:rowOff>76200</xdr:rowOff>
        </xdr:from>
        <xdr:to>
          <xdr:col>6</xdr:col>
          <xdr:colOff>1348740</xdr:colOff>
          <xdr:row>94</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91</xdr:row>
          <xdr:rowOff>60960</xdr:rowOff>
        </xdr:from>
        <xdr:to>
          <xdr:col>12</xdr:col>
          <xdr:colOff>1051560</xdr:colOff>
          <xdr:row>94</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11"/>
  <sheetViews>
    <sheetView showGridLines="0" tabSelected="1" zoomScale="70" zoomScaleNormal="70" workbookViewId="0">
      <selection activeCell="G13" sqref="G13"/>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376</v>
      </c>
      <c r="C3" s="79"/>
      <c r="D3" s="80" t="s">
        <v>377</v>
      </c>
    </row>
    <row r="4" spans="1:15" ht="19.8" customHeight="1" x14ac:dyDescent="0.3">
      <c r="B4" s="78" t="s">
        <v>217</v>
      </c>
      <c r="C4" s="79"/>
      <c r="D4" s="81" t="s">
        <v>360</v>
      </c>
      <c r="E4" s="77" t="s">
        <v>196</v>
      </c>
    </row>
    <row r="5" spans="1:15" ht="19.8" customHeight="1" x14ac:dyDescent="0.3">
      <c r="B5" s="78" t="s">
        <v>373</v>
      </c>
      <c r="C5" s="79"/>
      <c r="D5" s="81" t="s">
        <v>367</v>
      </c>
      <c r="E5" s="77" t="s">
        <v>196</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183</v>
      </c>
      <c r="L14" s="104"/>
      <c r="M14" s="105">
        <v>0.2</v>
      </c>
      <c r="N14" s="94"/>
    </row>
    <row r="15" spans="1:15" x14ac:dyDescent="0.3">
      <c r="B15" s="89"/>
      <c r="C15" s="102" t="s">
        <v>0</v>
      </c>
      <c r="D15" s="103">
        <v>0.05</v>
      </c>
      <c r="E15" s="90"/>
      <c r="F15" s="90"/>
      <c r="G15" s="90"/>
      <c r="H15" s="91"/>
      <c r="J15" s="92"/>
      <c r="K15" s="92" t="s">
        <v>184</v>
      </c>
      <c r="L15" s="104"/>
      <c r="M15" s="105">
        <v>0.2</v>
      </c>
      <c r="N15" s="94"/>
    </row>
    <row r="16" spans="1:15" x14ac:dyDescent="0.3">
      <c r="B16" s="89"/>
      <c r="C16" s="102" t="s">
        <v>2</v>
      </c>
      <c r="D16" s="103">
        <v>0.2</v>
      </c>
      <c r="E16" s="90"/>
      <c r="F16" s="90"/>
      <c r="G16" s="90"/>
      <c r="H16" s="91"/>
      <c r="J16" s="92"/>
      <c r="K16" s="92" t="s">
        <v>185</v>
      </c>
      <c r="L16" s="104"/>
      <c r="M16" s="105">
        <v>0.25</v>
      </c>
      <c r="N16" s="94"/>
    </row>
    <row r="17" spans="2:14" x14ac:dyDescent="0.3">
      <c r="B17" s="89"/>
      <c r="C17" s="102" t="s">
        <v>19</v>
      </c>
      <c r="D17" s="103">
        <v>0.1</v>
      </c>
      <c r="E17" s="90"/>
      <c r="F17" s="90"/>
      <c r="G17" s="90"/>
      <c r="H17" s="91"/>
      <c r="J17" s="92"/>
      <c r="K17" s="92" t="s">
        <v>186</v>
      </c>
      <c r="L17" s="104"/>
      <c r="M17" s="105">
        <v>0.25</v>
      </c>
      <c r="N17" s="94"/>
    </row>
    <row r="18" spans="2:14" x14ac:dyDescent="0.3">
      <c r="B18" s="89"/>
      <c r="C18" s="102" t="s">
        <v>12</v>
      </c>
      <c r="D18" s="103">
        <v>0.1</v>
      </c>
      <c r="E18" s="90"/>
      <c r="F18" s="90"/>
      <c r="G18" s="90"/>
      <c r="H18" s="91"/>
      <c r="J18" s="92"/>
      <c r="K18" s="106" t="s">
        <v>187</v>
      </c>
      <c r="L18" s="104"/>
      <c r="M18" s="105">
        <v>0.1</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61</v>
      </c>
      <c r="D22" s="103">
        <v>0.3</v>
      </c>
      <c r="E22" s="90"/>
      <c r="F22" s="113"/>
      <c r="G22" s="114"/>
      <c r="H22" s="91"/>
      <c r="J22" s="92"/>
      <c r="K22" s="93"/>
      <c r="L22" s="93"/>
      <c r="M22" s="93"/>
      <c r="N22" s="94"/>
    </row>
    <row r="23" spans="2:14" x14ac:dyDescent="0.3">
      <c r="B23" s="89"/>
      <c r="C23" s="115"/>
      <c r="D23" s="116">
        <v>0</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112</v>
      </c>
      <c r="F40" s="133">
        <v>50</v>
      </c>
      <c r="G40" s="129"/>
      <c r="H40" s="130"/>
      <c r="J40" s="92"/>
      <c r="K40" s="93"/>
      <c r="L40" s="93"/>
      <c r="M40" s="93"/>
      <c r="N40" s="94"/>
    </row>
    <row r="41" spans="2:14" x14ac:dyDescent="0.3">
      <c r="B41" s="128"/>
      <c r="C41" s="102" t="s">
        <v>82</v>
      </c>
      <c r="D41" s="103">
        <v>0.01</v>
      </c>
      <c r="E41" s="103" t="s">
        <v>112</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175</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157</v>
      </c>
      <c r="D63" s="162"/>
      <c r="E63" s="93"/>
      <c r="F63" s="93"/>
      <c r="G63" s="93"/>
      <c r="H63" s="157"/>
      <c r="J63" s="158"/>
      <c r="K63" s="159" t="s">
        <v>176</v>
      </c>
      <c r="L63" s="159"/>
      <c r="M63" s="159"/>
      <c r="N63" s="160"/>
    </row>
    <row r="64" spans="2:14" x14ac:dyDescent="0.3">
      <c r="B64" s="156"/>
      <c r="C64" s="163" t="s">
        <v>159</v>
      </c>
      <c r="D64" s="164" t="s">
        <v>160</v>
      </c>
      <c r="E64" s="93"/>
      <c r="F64" s="93"/>
      <c r="G64" s="93"/>
      <c r="H64" s="157"/>
      <c r="J64" s="158"/>
      <c r="K64" s="159"/>
      <c r="L64" s="159"/>
      <c r="M64" s="159"/>
      <c r="N64" s="160"/>
    </row>
    <row r="65" spans="2:14" x14ac:dyDescent="0.3">
      <c r="B65" s="156"/>
      <c r="C65" s="102" t="s">
        <v>163</v>
      </c>
      <c r="D65" s="103" t="s">
        <v>164</v>
      </c>
      <c r="E65" s="93"/>
      <c r="F65" s="93"/>
      <c r="G65" s="93"/>
      <c r="H65" s="157"/>
      <c r="J65" s="158"/>
      <c r="K65" s="159" t="s">
        <v>182</v>
      </c>
      <c r="L65" s="159"/>
      <c r="M65" s="159"/>
      <c r="N65" s="160"/>
    </row>
    <row r="66" spans="2:14" x14ac:dyDescent="0.3">
      <c r="B66" s="156"/>
      <c r="C66" s="102"/>
      <c r="D66" s="103"/>
      <c r="E66" s="93"/>
      <c r="F66" s="93"/>
      <c r="G66" s="93"/>
      <c r="H66" s="157"/>
      <c r="J66" s="158"/>
      <c r="K66" s="159"/>
      <c r="L66" s="159"/>
      <c r="M66" s="159"/>
      <c r="N66" s="160"/>
    </row>
    <row r="67" spans="2:14" x14ac:dyDescent="0.3">
      <c r="B67" s="156"/>
      <c r="C67" s="102"/>
      <c r="D67" s="103"/>
      <c r="E67" s="93"/>
      <c r="F67" s="93"/>
      <c r="G67" s="93"/>
      <c r="H67" s="157"/>
      <c r="J67" s="158"/>
      <c r="K67" s="165" t="s">
        <v>168</v>
      </c>
      <c r="L67" s="166"/>
      <c r="M67" s="165" t="s">
        <v>73</v>
      </c>
      <c r="N67" s="160"/>
    </row>
    <row r="68" spans="2:14" x14ac:dyDescent="0.3">
      <c r="B68" s="156"/>
      <c r="C68" s="93"/>
      <c r="D68" s="93"/>
      <c r="E68" s="167"/>
      <c r="F68" s="167"/>
      <c r="G68" s="167"/>
      <c r="H68" s="157"/>
      <c r="J68" s="158"/>
      <c r="K68" s="168" t="s">
        <v>177</v>
      </c>
      <c r="L68" s="169"/>
      <c r="M68" s="103">
        <v>0.6</v>
      </c>
      <c r="N68" s="160"/>
    </row>
    <row r="69" spans="2:14" x14ac:dyDescent="0.3">
      <c r="B69" s="156"/>
      <c r="C69" s="161" t="s">
        <v>158</v>
      </c>
      <c r="D69" s="162"/>
      <c r="E69" s="162"/>
      <c r="F69" s="162"/>
      <c r="G69" s="162"/>
      <c r="H69" s="157"/>
      <c r="J69" s="158"/>
      <c r="K69" s="168" t="s">
        <v>179</v>
      </c>
      <c r="L69" s="169"/>
      <c r="M69" s="103">
        <v>0.1</v>
      </c>
      <c r="N69" s="160"/>
    </row>
    <row r="70" spans="2:14" x14ac:dyDescent="0.3">
      <c r="B70" s="156"/>
      <c r="C70" s="163" t="s">
        <v>159</v>
      </c>
      <c r="D70" s="164" t="s">
        <v>160</v>
      </c>
      <c r="E70" s="164" t="s">
        <v>161</v>
      </c>
      <c r="F70" s="164" t="s">
        <v>162</v>
      </c>
      <c r="G70" s="164" t="s">
        <v>207</v>
      </c>
      <c r="H70" s="157"/>
      <c r="J70" s="158"/>
      <c r="K70" s="168" t="s">
        <v>180</v>
      </c>
      <c r="L70" s="169"/>
      <c r="M70" s="103">
        <v>0.2</v>
      </c>
      <c r="N70" s="160"/>
    </row>
    <row r="71" spans="2:14" x14ac:dyDescent="0.3">
      <c r="B71" s="156"/>
      <c r="C71" s="102" t="s">
        <v>163</v>
      </c>
      <c r="D71" s="103" t="s">
        <v>164</v>
      </c>
      <c r="E71" s="170">
        <v>1000</v>
      </c>
      <c r="F71" s="169">
        <v>50</v>
      </c>
      <c r="G71" s="169">
        <v>1</v>
      </c>
      <c r="H71" s="157"/>
      <c r="J71" s="158"/>
      <c r="K71" s="168" t="s">
        <v>181</v>
      </c>
      <c r="L71" s="169"/>
      <c r="M71" s="103">
        <v>0.1</v>
      </c>
      <c r="N71" s="160"/>
    </row>
    <row r="72" spans="2:14" x14ac:dyDescent="0.3">
      <c r="B72" s="156"/>
      <c r="C72" s="102" t="s">
        <v>375</v>
      </c>
      <c r="D72" s="103" t="s">
        <v>165</v>
      </c>
      <c r="E72" s="170">
        <v>10000</v>
      </c>
      <c r="F72" s="169">
        <v>3</v>
      </c>
      <c r="G72" s="169">
        <v>5</v>
      </c>
      <c r="H72" s="157"/>
      <c r="J72" s="158"/>
      <c r="K72" s="171" t="str">
        <f>IF(M72=1,"OK","ERROR! Ensure Weighting total = 100%")</f>
        <v>OK</v>
      </c>
      <c r="L72" s="159"/>
      <c r="M72" s="172">
        <f>SUM(M68:M71)</f>
        <v>0.99999999999999989</v>
      </c>
      <c r="N72" s="160"/>
    </row>
    <row r="73" spans="2:14" x14ac:dyDescent="0.3">
      <c r="B73" s="156"/>
      <c r="C73" s="102"/>
      <c r="D73" s="103"/>
      <c r="E73" s="170"/>
      <c r="F73" s="169"/>
      <c r="G73" s="169"/>
      <c r="H73" s="157"/>
      <c r="J73" s="158"/>
      <c r="K73" s="173"/>
      <c r="L73" s="159"/>
      <c r="M73" s="159"/>
      <c r="N73" s="160"/>
    </row>
    <row r="74" spans="2:14" x14ac:dyDescent="0.3">
      <c r="B74" s="156"/>
      <c r="C74" s="93"/>
      <c r="D74" s="93"/>
      <c r="E74" s="167"/>
      <c r="F74" s="167"/>
      <c r="G74" s="167"/>
      <c r="H74" s="157"/>
      <c r="J74" s="158"/>
      <c r="K74" s="174" t="s">
        <v>178</v>
      </c>
      <c r="L74" s="159"/>
      <c r="M74" s="159"/>
      <c r="N74" s="160"/>
    </row>
    <row r="75" spans="2:14" x14ac:dyDescent="0.3">
      <c r="B75" s="156"/>
      <c r="C75" s="161" t="s">
        <v>210</v>
      </c>
      <c r="D75" s="162"/>
      <c r="E75" s="162"/>
      <c r="F75" s="167"/>
      <c r="G75" s="167"/>
      <c r="H75" s="157"/>
      <c r="J75" s="158"/>
      <c r="K75" s="173" t="str">
        <f>"          "&amp;M68&amp;" * "&amp;K68&amp;" +"</f>
        <v xml:space="preserve">          0.6 * Median IRI +</v>
      </c>
      <c r="L75" s="159"/>
      <c r="M75" s="159"/>
      <c r="N75" s="160"/>
    </row>
    <row r="76" spans="2:14" x14ac:dyDescent="0.3">
      <c r="B76" s="156"/>
      <c r="C76" s="163" t="s">
        <v>211</v>
      </c>
      <c r="D76" s="164" t="s">
        <v>212</v>
      </c>
      <c r="E76" s="164" t="s">
        <v>213</v>
      </c>
      <c r="F76" s="167"/>
      <c r="G76" s="167"/>
      <c r="H76" s="157"/>
      <c r="J76" s="158"/>
      <c r="K76" s="173" t="str">
        <f>"          "&amp;M69&amp;" * "&amp;K69&amp;" +"</f>
        <v xml:space="preserve">          0.1 * Minimum IRI  +</v>
      </c>
      <c r="L76" s="159"/>
      <c r="M76" s="159"/>
      <c r="N76" s="160"/>
    </row>
    <row r="77" spans="2:14" x14ac:dyDescent="0.3">
      <c r="B77" s="156"/>
      <c r="C77" s="175">
        <v>1</v>
      </c>
      <c r="D77" s="102" t="s">
        <v>163</v>
      </c>
      <c r="E77" s="102" t="s">
        <v>163</v>
      </c>
      <c r="F77" s="167"/>
      <c r="G77" s="167"/>
      <c r="H77" s="157"/>
      <c r="J77" s="158"/>
      <c r="K77" s="173" t="str">
        <f>"          "&amp;M70&amp;" * "&amp;K70&amp;" +"</f>
        <v xml:space="preserve">          0.2 * Maximum IRI +</v>
      </c>
      <c r="L77" s="159"/>
      <c r="M77" s="159"/>
      <c r="N77" s="160"/>
    </row>
    <row r="78" spans="2:14" x14ac:dyDescent="0.3">
      <c r="B78" s="156"/>
      <c r="C78" s="175">
        <v>2</v>
      </c>
      <c r="D78" s="102" t="s">
        <v>163</v>
      </c>
      <c r="E78" s="102" t="s">
        <v>375</v>
      </c>
      <c r="F78" s="167"/>
      <c r="G78" s="167"/>
      <c r="H78" s="157"/>
      <c r="J78" s="158"/>
      <c r="K78" s="173" t="str">
        <f>"          "&amp;M71&amp;" * "&amp;K71&amp;" )"</f>
        <v xml:space="preserve">          0.1 * Mean IRI )</v>
      </c>
      <c r="L78" s="159"/>
      <c r="M78" s="159"/>
      <c r="N78" s="160"/>
    </row>
    <row r="79" spans="2:14" x14ac:dyDescent="0.3">
      <c r="B79" s="156"/>
      <c r="C79" s="175">
        <v>3</v>
      </c>
      <c r="D79" s="102"/>
      <c r="E79" s="102"/>
      <c r="F79" s="167"/>
      <c r="G79" s="167"/>
      <c r="H79" s="157"/>
      <c r="J79" s="158"/>
      <c r="K79" s="173"/>
      <c r="L79" s="159"/>
      <c r="M79" s="159"/>
      <c r="N79" s="160"/>
    </row>
    <row r="80" spans="2:14" x14ac:dyDescent="0.3">
      <c r="B80" s="156"/>
      <c r="C80" s="175">
        <v>4</v>
      </c>
      <c r="D80" s="102"/>
      <c r="E80" s="102"/>
      <c r="F80" s="167"/>
      <c r="G80" s="167"/>
      <c r="H80" s="157"/>
      <c r="J80" s="158"/>
      <c r="K80" s="173"/>
      <c r="L80" s="159"/>
      <c r="M80" s="159"/>
      <c r="N80" s="160"/>
    </row>
    <row r="81" spans="2:14" x14ac:dyDescent="0.3">
      <c r="B81" s="156"/>
      <c r="C81" s="175">
        <v>5</v>
      </c>
      <c r="D81" s="102"/>
      <c r="E81" s="102"/>
      <c r="F81" s="167"/>
      <c r="G81" s="167"/>
      <c r="H81" s="157"/>
      <c r="J81" s="158"/>
      <c r="K81" s="173"/>
      <c r="L81" s="159"/>
      <c r="M81" s="159"/>
      <c r="N81" s="160"/>
    </row>
    <row r="82" spans="2:14" x14ac:dyDescent="0.3">
      <c r="B82" s="156"/>
      <c r="C82" s="175">
        <v>6</v>
      </c>
      <c r="D82" s="102"/>
      <c r="E82" s="102"/>
      <c r="F82" s="167"/>
      <c r="G82" s="167"/>
      <c r="H82" s="157"/>
      <c r="J82" s="158"/>
      <c r="K82" s="173"/>
      <c r="L82" s="159"/>
      <c r="M82" s="159"/>
      <c r="N82" s="160"/>
    </row>
    <row r="83" spans="2:14" x14ac:dyDescent="0.3">
      <c r="B83" s="156"/>
      <c r="C83" s="93"/>
      <c r="D83" s="93"/>
      <c r="E83" s="167"/>
      <c r="F83" s="167"/>
      <c r="G83" s="167"/>
      <c r="H83" s="157"/>
      <c r="J83" s="158"/>
      <c r="K83" s="173"/>
      <c r="L83" s="159"/>
      <c r="M83" s="159"/>
      <c r="N83" s="160"/>
    </row>
    <row r="84" spans="2:14" x14ac:dyDescent="0.3">
      <c r="B84" s="156"/>
      <c r="C84" s="176" t="s">
        <v>170</v>
      </c>
      <c r="D84" s="167"/>
      <c r="E84" s="167"/>
      <c r="F84" s="167"/>
      <c r="G84" s="167"/>
      <c r="H84" s="157"/>
      <c r="J84" s="158"/>
      <c r="K84" s="173"/>
      <c r="L84" s="159"/>
      <c r="M84" s="159"/>
      <c r="N84" s="160"/>
    </row>
    <row r="85" spans="2:14" x14ac:dyDescent="0.3">
      <c r="B85" s="156"/>
      <c r="C85" s="93" t="s">
        <v>174</v>
      </c>
      <c r="D85" s="93"/>
      <c r="E85" s="167"/>
      <c r="F85" s="167"/>
      <c r="G85" s="167"/>
      <c r="H85" s="157"/>
      <c r="J85" s="158"/>
      <c r="K85" s="173"/>
      <c r="L85" s="159"/>
      <c r="M85" s="159"/>
      <c r="N85" s="160"/>
    </row>
    <row r="86" spans="2:14" x14ac:dyDescent="0.3">
      <c r="B86" s="156"/>
      <c r="C86" s="163" t="s">
        <v>159</v>
      </c>
      <c r="D86" s="163"/>
      <c r="E86" s="164" t="s">
        <v>168</v>
      </c>
      <c r="F86" s="167"/>
      <c r="G86" s="167"/>
      <c r="H86" s="157"/>
      <c r="J86" s="158"/>
      <c r="K86" s="173"/>
      <c r="L86" s="159"/>
      <c r="M86" s="159"/>
      <c r="N86" s="160"/>
    </row>
    <row r="87" spans="2:14" x14ac:dyDescent="0.3">
      <c r="B87" s="156"/>
      <c r="C87" s="102" t="s">
        <v>172</v>
      </c>
      <c r="D87" s="103"/>
      <c r="E87" s="177">
        <v>0.5</v>
      </c>
      <c r="F87" s="167"/>
      <c r="G87" s="167"/>
      <c r="H87" s="157"/>
      <c r="J87" s="158"/>
      <c r="K87" s="173"/>
      <c r="L87" s="159"/>
      <c r="M87" s="159"/>
      <c r="N87" s="160"/>
    </row>
    <row r="88" spans="2:14" x14ac:dyDescent="0.3">
      <c r="B88" s="156"/>
      <c r="C88" s="102" t="s">
        <v>171</v>
      </c>
      <c r="D88" s="103"/>
      <c r="E88" s="177">
        <v>0.25</v>
      </c>
      <c r="F88" s="167"/>
      <c r="G88" s="167"/>
      <c r="H88" s="157"/>
      <c r="J88" s="158"/>
      <c r="K88" s="173"/>
      <c r="L88" s="159"/>
      <c r="M88" s="159"/>
      <c r="N88" s="160"/>
    </row>
    <row r="89" spans="2:14" x14ac:dyDescent="0.3">
      <c r="B89" s="156"/>
      <c r="C89" s="178" t="s">
        <v>173</v>
      </c>
      <c r="D89" s="179" t="str">
        <f>"Length (km) * ("&amp;E87&amp;" + "&amp;E88&amp;" * IRI)"</f>
        <v>Length (km) * (0.5 + 0.25 * IRI)</v>
      </c>
      <c r="E89" s="180"/>
      <c r="F89" s="167"/>
      <c r="G89" s="167"/>
      <c r="H89" s="157"/>
      <c r="J89" s="158"/>
      <c r="K89" s="173"/>
      <c r="L89" s="159"/>
      <c r="M89" s="159"/>
      <c r="N89" s="160"/>
    </row>
    <row r="90" spans="2:14" x14ac:dyDescent="0.3">
      <c r="B90" s="156"/>
      <c r="C90" s="93"/>
      <c r="D90" s="93"/>
      <c r="E90" s="167"/>
      <c r="F90" s="167"/>
      <c r="G90" s="167"/>
      <c r="H90" s="157"/>
      <c r="J90" s="158"/>
      <c r="K90" s="159"/>
      <c r="L90" s="159"/>
      <c r="M90" s="159"/>
      <c r="N90" s="160"/>
    </row>
    <row r="91" spans="2:14" x14ac:dyDescent="0.3">
      <c r="B91" s="156"/>
      <c r="C91" s="181" t="s">
        <v>166</v>
      </c>
      <c r="D91" s="93"/>
      <c r="E91" s="167"/>
      <c r="F91" s="167"/>
      <c r="G91" s="167"/>
      <c r="H91" s="157"/>
      <c r="J91" s="158"/>
      <c r="K91" s="159"/>
      <c r="L91" s="159"/>
      <c r="M91" s="159"/>
      <c r="N91" s="160"/>
    </row>
    <row r="92" spans="2:14" x14ac:dyDescent="0.3">
      <c r="B92" s="156"/>
      <c r="C92" s="163" t="s">
        <v>159</v>
      </c>
      <c r="D92" s="164" t="s">
        <v>73</v>
      </c>
      <c r="E92" s="167"/>
      <c r="F92" s="182"/>
      <c r="G92" s="183"/>
      <c r="H92" s="157"/>
      <c r="J92" s="158"/>
      <c r="K92" s="159"/>
      <c r="L92" s="184"/>
      <c r="M92" s="185"/>
      <c r="N92" s="160"/>
    </row>
    <row r="93" spans="2:14" x14ac:dyDescent="0.3">
      <c r="B93" s="156"/>
      <c r="C93" s="102" t="s">
        <v>167</v>
      </c>
      <c r="D93" s="103">
        <v>0.8</v>
      </c>
      <c r="E93" s="167"/>
      <c r="F93" s="186"/>
      <c r="G93" s="187"/>
      <c r="H93" s="157"/>
      <c r="J93" s="158"/>
      <c r="K93" s="159"/>
      <c r="L93" s="188"/>
      <c r="M93" s="189"/>
      <c r="N93" s="160"/>
    </row>
    <row r="94" spans="2:14" x14ac:dyDescent="0.3">
      <c r="B94" s="156"/>
      <c r="C94" s="102" t="s">
        <v>169</v>
      </c>
      <c r="D94" s="103">
        <v>0.2</v>
      </c>
      <c r="E94" s="167"/>
      <c r="F94" s="186"/>
      <c r="G94" s="187"/>
      <c r="H94" s="157"/>
      <c r="J94" s="158"/>
      <c r="K94" s="159"/>
      <c r="L94" s="188"/>
      <c r="M94" s="189"/>
      <c r="N94" s="160"/>
    </row>
    <row r="95" spans="2:14" x14ac:dyDescent="0.3">
      <c r="B95" s="156"/>
      <c r="C95" s="167"/>
      <c r="D95" s="190">
        <f>SUM(D93:D94)</f>
        <v>1</v>
      </c>
      <c r="E95" s="167"/>
      <c r="F95" s="191"/>
      <c r="G95" s="192"/>
      <c r="H95" s="157"/>
      <c r="J95" s="158"/>
      <c r="K95" s="159"/>
      <c r="L95" s="193"/>
      <c r="M95" s="194"/>
      <c r="N95" s="160"/>
    </row>
    <row r="96" spans="2:14" x14ac:dyDescent="0.3">
      <c r="B96" s="195"/>
      <c r="C96" s="196"/>
      <c r="D96" s="196"/>
      <c r="E96" s="196"/>
      <c r="F96" s="196"/>
      <c r="G96" s="196"/>
      <c r="H96" s="197"/>
      <c r="J96" s="198"/>
      <c r="K96" s="199"/>
      <c r="L96" s="199"/>
      <c r="M96" s="199"/>
      <c r="N96" s="200"/>
    </row>
    <row r="98" spans="2:14" x14ac:dyDescent="0.3">
      <c r="B98" s="201"/>
      <c r="C98" s="202"/>
      <c r="D98" s="202"/>
      <c r="E98" s="202"/>
      <c r="F98" s="202"/>
      <c r="G98" s="202"/>
      <c r="H98" s="202"/>
      <c r="I98" s="202"/>
      <c r="J98" s="202"/>
      <c r="K98" s="202"/>
      <c r="L98" s="202"/>
      <c r="M98" s="202"/>
      <c r="N98" s="203"/>
    </row>
    <row r="99" spans="2:14" x14ac:dyDescent="0.3">
      <c r="B99" s="204"/>
      <c r="C99" s="205" t="s">
        <v>349</v>
      </c>
      <c r="D99" s="206"/>
      <c r="E99" s="206"/>
      <c r="F99" s="206"/>
      <c r="G99" s="206"/>
      <c r="H99" s="206"/>
      <c r="I99" s="206"/>
      <c r="J99" s="206"/>
      <c r="K99" s="206"/>
      <c r="L99" s="206"/>
      <c r="M99" s="206"/>
      <c r="N99" s="207"/>
    </row>
    <row r="100" spans="2:14" x14ac:dyDescent="0.3">
      <c r="B100" s="204"/>
      <c r="C100" s="208" t="s">
        <v>350</v>
      </c>
      <c r="D100" s="206"/>
      <c r="E100" s="206"/>
      <c r="F100" s="206"/>
      <c r="G100" s="206"/>
      <c r="H100" s="206"/>
      <c r="I100" s="206"/>
      <c r="J100" s="206"/>
      <c r="K100" s="206"/>
      <c r="L100" s="206"/>
      <c r="M100" s="206"/>
      <c r="N100" s="207"/>
    </row>
    <row r="101" spans="2:14" x14ac:dyDescent="0.3">
      <c r="B101" s="204"/>
      <c r="C101" s="206" t="s">
        <v>359</v>
      </c>
      <c r="D101" s="206"/>
      <c r="E101" s="206"/>
      <c r="F101" s="206"/>
      <c r="G101" s="206"/>
      <c r="H101" s="206"/>
      <c r="I101" s="206"/>
      <c r="J101" s="206"/>
      <c r="K101" s="206"/>
      <c r="L101" s="206"/>
      <c r="M101" s="206"/>
      <c r="N101" s="207"/>
    </row>
    <row r="102" spans="2:14" x14ac:dyDescent="0.3">
      <c r="B102" s="204"/>
      <c r="C102" s="206" t="s">
        <v>351</v>
      </c>
      <c r="D102" s="206"/>
      <c r="E102" s="206"/>
      <c r="F102" s="206"/>
      <c r="G102" s="206"/>
      <c r="H102" s="206"/>
      <c r="I102" s="206"/>
      <c r="J102" s="206"/>
      <c r="K102" s="206"/>
      <c r="L102" s="206"/>
      <c r="M102" s="206"/>
      <c r="N102" s="207"/>
    </row>
    <row r="103" spans="2:14" x14ac:dyDescent="0.3">
      <c r="B103" s="204"/>
      <c r="C103" s="206" t="s">
        <v>352</v>
      </c>
      <c r="D103" s="206"/>
      <c r="E103" s="206"/>
      <c r="F103" s="206"/>
      <c r="G103" s="206"/>
      <c r="H103" s="206"/>
      <c r="I103" s="206"/>
      <c r="J103" s="206"/>
      <c r="K103" s="206"/>
      <c r="L103" s="206"/>
      <c r="M103" s="206"/>
      <c r="N103" s="207"/>
    </row>
    <row r="104" spans="2:14" x14ac:dyDescent="0.3">
      <c r="B104" s="204"/>
      <c r="C104" s="206" t="s">
        <v>354</v>
      </c>
      <c r="D104" s="206"/>
      <c r="E104" s="206"/>
      <c r="F104" s="206"/>
      <c r="G104" s="206"/>
      <c r="H104" s="206"/>
      <c r="I104" s="206"/>
      <c r="J104" s="206"/>
      <c r="K104" s="206"/>
      <c r="L104" s="206"/>
      <c r="M104" s="206"/>
      <c r="N104" s="207"/>
    </row>
    <row r="105" spans="2:14" x14ac:dyDescent="0.3">
      <c r="B105" s="204"/>
      <c r="C105" s="206" t="s">
        <v>355</v>
      </c>
      <c r="D105" s="206"/>
      <c r="E105" s="206"/>
      <c r="F105" s="206"/>
      <c r="G105" s="206"/>
      <c r="H105" s="206"/>
      <c r="I105" s="206"/>
      <c r="J105" s="206"/>
      <c r="K105" s="206"/>
      <c r="L105" s="206"/>
      <c r="M105" s="206"/>
      <c r="N105" s="207"/>
    </row>
    <row r="106" spans="2:14" x14ac:dyDescent="0.3">
      <c r="B106" s="204"/>
      <c r="C106" s="206" t="s">
        <v>353</v>
      </c>
      <c r="D106" s="206"/>
      <c r="E106" s="206"/>
      <c r="F106" s="206"/>
      <c r="G106" s="206"/>
      <c r="H106" s="206"/>
      <c r="I106" s="206"/>
      <c r="J106" s="206"/>
      <c r="K106" s="206"/>
      <c r="L106" s="206"/>
      <c r="M106" s="206"/>
      <c r="N106" s="207"/>
    </row>
    <row r="107" spans="2:14" x14ac:dyDescent="0.3">
      <c r="B107" s="204"/>
      <c r="C107" s="206"/>
      <c r="D107" s="206"/>
      <c r="E107" s="206"/>
      <c r="F107" s="206"/>
      <c r="G107" s="206"/>
      <c r="H107" s="206"/>
      <c r="I107" s="206"/>
      <c r="J107" s="206"/>
      <c r="K107" s="206"/>
      <c r="L107" s="206"/>
      <c r="M107" s="206"/>
      <c r="N107" s="207"/>
    </row>
    <row r="108" spans="2:14" x14ac:dyDescent="0.3">
      <c r="B108" s="204"/>
      <c r="C108" s="208" t="s">
        <v>356</v>
      </c>
      <c r="D108" s="206"/>
      <c r="E108" s="206"/>
      <c r="F108" s="206"/>
      <c r="G108" s="206"/>
      <c r="H108" s="206"/>
      <c r="I108" s="206"/>
      <c r="J108" s="206"/>
      <c r="K108" s="206"/>
      <c r="L108" s="206"/>
      <c r="M108" s="206"/>
      <c r="N108" s="207"/>
    </row>
    <row r="109" spans="2:14" x14ac:dyDescent="0.3">
      <c r="B109" s="204"/>
      <c r="C109" s="206" t="s">
        <v>357</v>
      </c>
      <c r="D109" s="206"/>
      <c r="E109" s="206"/>
      <c r="F109" s="206"/>
      <c r="G109" s="206"/>
      <c r="H109" s="206"/>
      <c r="I109" s="206"/>
      <c r="J109" s="206"/>
      <c r="K109" s="206"/>
      <c r="L109" s="206"/>
      <c r="M109" s="206"/>
      <c r="N109" s="207"/>
    </row>
    <row r="110" spans="2:14" x14ac:dyDescent="0.3">
      <c r="B110" s="204"/>
      <c r="C110" s="206" t="s">
        <v>358</v>
      </c>
      <c r="D110" s="206"/>
      <c r="E110" s="206"/>
      <c r="F110" s="206"/>
      <c r="G110" s="206"/>
      <c r="H110" s="206"/>
      <c r="I110" s="206"/>
      <c r="J110" s="206"/>
      <c r="K110" s="206"/>
      <c r="L110" s="206"/>
      <c r="M110" s="206"/>
      <c r="N110" s="207"/>
    </row>
    <row r="111" spans="2:14" x14ac:dyDescent="0.3">
      <c r="B111" s="209"/>
      <c r="C111" s="210"/>
      <c r="D111" s="210"/>
      <c r="E111" s="210"/>
      <c r="F111" s="210"/>
      <c r="G111" s="210"/>
      <c r="H111" s="210"/>
      <c r="I111" s="210"/>
      <c r="J111" s="210"/>
      <c r="K111" s="210"/>
      <c r="L111" s="210"/>
      <c r="M111" s="210"/>
      <c r="N111" s="211"/>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0">
    <cfRule type="expression" dxfId="2" priority="4">
      <formula>E42="Relative"</formula>
    </cfRule>
  </conditionalFormatting>
  <conditionalFormatting sqref="C59">
    <cfRule type="cellIs" dxfId="1" priority="3" operator="equal">
      <formula>"OK"</formula>
    </cfRule>
  </conditionalFormatting>
  <conditionalFormatting sqref="K72">
    <cfRule type="cellIs" dxfId="0" priority="1" operator="equal">
      <formula>"OK"</formula>
    </cfRule>
  </conditionalFormatting>
  <dataValidations count="5">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71:G73">
      <formula1>"1,2,3,4,5"</formula1>
    </dataValidation>
    <dataValidation type="list" allowBlank="1" showInputMessage="1" showErrorMessage="1" sqref="D77:D82">
      <formula1>$C$65:$C$68</formula1>
    </dataValidation>
    <dataValidation type="list" allowBlank="1" showInputMessage="1" showErrorMessage="1" sqref="E77:E82">
      <formula1>$C$71:$C$74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91</xdr:row>
                    <xdr:rowOff>76200</xdr:rowOff>
                  </from>
                  <to>
                    <xdr:col>6</xdr:col>
                    <xdr:colOff>1348740</xdr:colOff>
                    <xdr:row>94</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91</xdr:row>
                    <xdr:rowOff>60960</xdr:rowOff>
                  </from>
                  <to>
                    <xdr:col>12</xdr:col>
                    <xdr:colOff>1051560</xdr:colOff>
                    <xdr:row>94</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topLeftCell="A7" zoomScale="115" zoomScaleNormal="115" workbookViewId="0">
      <selection activeCell="M18" sqref="M18"/>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6384" width="8.88671875" style="30"/>
  </cols>
  <sheetData>
    <row r="1" spans="1:10" ht="25.8" x14ac:dyDescent="0.5">
      <c r="A1" s="29" t="s">
        <v>346</v>
      </c>
      <c r="B1" s="29"/>
      <c r="C1" s="29"/>
      <c r="D1" s="29"/>
      <c r="E1" s="29"/>
      <c r="F1" s="29"/>
      <c r="G1" s="29"/>
      <c r="H1" s="29"/>
      <c r="I1" s="29"/>
      <c r="J1" s="29"/>
    </row>
    <row r="3" spans="1:10" x14ac:dyDescent="0.3">
      <c r="B3" s="22" t="s">
        <v>376</v>
      </c>
      <c r="C3" s="69"/>
      <c r="D3" s="69"/>
      <c r="E3" s="70" t="str">
        <f>PCS!D3</f>
        <v>YD</v>
      </c>
    </row>
    <row r="4" spans="1:10" x14ac:dyDescent="0.3">
      <c r="B4" s="22" t="s">
        <v>217</v>
      </c>
      <c r="C4" s="23"/>
      <c r="D4" s="23"/>
      <c r="E4" s="68" t="str">
        <f>PCS!D4</f>
        <v>C:\Users\charl\Anaconda2\Python.exe</v>
      </c>
    </row>
    <row r="5" spans="1:10" x14ac:dyDescent="0.3">
      <c r="B5" s="65" t="s">
        <v>373</v>
      </c>
      <c r="C5" s="23"/>
      <c r="D5" s="23"/>
      <c r="E5" s="68" t="str">
        <f>PCS!D5</f>
        <v>C:\Users\charl\Documents\GitHub\RoadLabPro_Utils</v>
      </c>
    </row>
    <row r="7" spans="1:10" x14ac:dyDescent="0.3">
      <c r="B7" s="31" t="s">
        <v>344</v>
      </c>
      <c r="C7" s="32"/>
      <c r="D7" s="32"/>
      <c r="E7" s="32"/>
      <c r="F7" s="32"/>
      <c r="G7" s="32"/>
      <c r="H7" s="32"/>
      <c r="I7" s="32"/>
      <c r="J7" s="33"/>
    </row>
    <row r="8" spans="1:10" x14ac:dyDescent="0.3">
      <c r="B8" s="34"/>
      <c r="C8" s="35"/>
      <c r="D8" s="35"/>
      <c r="E8" s="35"/>
      <c r="F8" s="35"/>
      <c r="G8" s="35"/>
      <c r="H8" s="36"/>
      <c r="I8" s="36"/>
      <c r="J8" s="37"/>
    </row>
    <row r="9" spans="1:10" x14ac:dyDescent="0.3">
      <c r="B9" s="34"/>
      <c r="C9" s="35" t="s">
        <v>347</v>
      </c>
      <c r="D9" s="35"/>
      <c r="E9" s="35"/>
      <c r="F9" s="35"/>
      <c r="G9" s="35"/>
      <c r="H9" s="36"/>
      <c r="I9" s="36"/>
      <c r="J9" s="37"/>
    </row>
    <row r="10" spans="1:10" x14ac:dyDescent="0.3">
      <c r="B10" s="34"/>
      <c r="C10" s="35" t="s">
        <v>348</v>
      </c>
      <c r="D10" s="35"/>
      <c r="E10" s="35"/>
      <c r="F10" s="35"/>
      <c r="G10" s="35"/>
      <c r="H10" s="36"/>
      <c r="I10" s="36"/>
      <c r="J10" s="37"/>
    </row>
    <row r="11" spans="1:10" x14ac:dyDescent="0.3">
      <c r="B11" s="34"/>
      <c r="C11" s="35" t="s">
        <v>364</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363</v>
      </c>
      <c r="D14" s="40"/>
      <c r="E14" s="40"/>
      <c r="F14" s="39" t="s">
        <v>265</v>
      </c>
      <c r="G14" s="66"/>
      <c r="H14" s="59"/>
      <c r="I14" s="60"/>
      <c r="J14" s="58"/>
    </row>
    <row r="15" spans="1:10" x14ac:dyDescent="0.3">
      <c r="B15" s="34"/>
      <c r="C15" s="35"/>
      <c r="D15" s="35" t="s">
        <v>266</v>
      </c>
      <c r="E15" s="35"/>
      <c r="F15" s="43">
        <v>4.3</v>
      </c>
      <c r="G15" s="35"/>
      <c r="H15" s="61"/>
      <c r="I15" s="62"/>
      <c r="J15" s="37"/>
    </row>
    <row r="16" spans="1:10" x14ac:dyDescent="0.3">
      <c r="B16" s="34"/>
      <c r="C16" s="35"/>
      <c r="D16" s="35" t="s">
        <v>267</v>
      </c>
      <c r="E16" s="35"/>
      <c r="F16" s="43">
        <v>3.8</v>
      </c>
      <c r="G16" s="35"/>
      <c r="H16" s="61"/>
      <c r="I16" s="62"/>
      <c r="J16" s="37"/>
    </row>
    <row r="17" spans="2:10" x14ac:dyDescent="0.3">
      <c r="B17" s="34"/>
      <c r="C17" s="35"/>
      <c r="D17" s="35" t="s">
        <v>268</v>
      </c>
      <c r="E17" s="35"/>
      <c r="F17" s="43">
        <v>3.4</v>
      </c>
      <c r="G17" s="35"/>
      <c r="H17" s="63"/>
      <c r="I17" s="64"/>
      <c r="J17" s="37"/>
    </row>
    <row r="18" spans="2:10" x14ac:dyDescent="0.3">
      <c r="B18" s="34"/>
      <c r="C18" s="35"/>
      <c r="D18" s="35" t="s">
        <v>276</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253</v>
      </c>
      <c r="D20" s="40"/>
      <c r="E20" s="40"/>
      <c r="F20" s="39" t="s">
        <v>265</v>
      </c>
      <c r="G20" s="39"/>
      <c r="H20" s="41" t="s">
        <v>263</v>
      </c>
      <c r="I20" s="41" t="s">
        <v>264</v>
      </c>
      <c r="J20" s="42"/>
    </row>
    <row r="21" spans="2:10" x14ac:dyDescent="0.3">
      <c r="B21" s="34"/>
      <c r="C21" s="35"/>
      <c r="D21" s="35" t="s">
        <v>266</v>
      </c>
      <c r="E21" s="35"/>
      <c r="F21" s="43">
        <v>3</v>
      </c>
      <c r="G21" s="35"/>
      <c r="H21" s="44">
        <v>1</v>
      </c>
      <c r="I21" s="36" t="s">
        <v>269</v>
      </c>
      <c r="J21" s="37"/>
    </row>
    <row r="22" spans="2:10" x14ac:dyDescent="0.3">
      <c r="B22" s="34"/>
      <c r="C22" s="35"/>
      <c r="D22" s="35" t="s">
        <v>267</v>
      </c>
      <c r="E22" s="35"/>
      <c r="F22" s="43">
        <v>2</v>
      </c>
      <c r="G22" s="35"/>
      <c r="H22" s="44">
        <v>2</v>
      </c>
      <c r="I22" s="36" t="s">
        <v>270</v>
      </c>
      <c r="J22" s="37"/>
    </row>
    <row r="23" spans="2:10" x14ac:dyDescent="0.3">
      <c r="B23" s="34"/>
      <c r="C23" s="35"/>
      <c r="D23" s="35" t="s">
        <v>268</v>
      </c>
      <c r="E23" s="35"/>
      <c r="F23" s="43">
        <v>1</v>
      </c>
      <c r="G23" s="35"/>
      <c r="H23" s="44">
        <v>3</v>
      </c>
      <c r="I23" s="36" t="s">
        <v>271</v>
      </c>
      <c r="J23" s="37"/>
    </row>
    <row r="24" spans="2:10" x14ac:dyDescent="0.3">
      <c r="B24" s="34"/>
      <c r="C24" s="35"/>
      <c r="D24" s="35" t="s">
        <v>276</v>
      </c>
      <c r="E24" s="35"/>
      <c r="F24" s="43">
        <v>2</v>
      </c>
      <c r="G24" s="35"/>
      <c r="H24" s="44">
        <v>4</v>
      </c>
      <c r="I24" s="36" t="s">
        <v>272</v>
      </c>
      <c r="J24" s="37"/>
    </row>
    <row r="25" spans="2:10" x14ac:dyDescent="0.3">
      <c r="B25" s="34"/>
      <c r="C25" s="35"/>
      <c r="D25" s="35"/>
      <c r="E25" s="35"/>
      <c r="F25" s="35"/>
      <c r="G25" s="35"/>
      <c r="H25" s="44">
        <v>5</v>
      </c>
      <c r="I25" s="36" t="s">
        <v>273</v>
      </c>
      <c r="J25" s="37"/>
    </row>
    <row r="26" spans="2:10" x14ac:dyDescent="0.3">
      <c r="B26" s="34"/>
      <c r="C26" s="35"/>
      <c r="D26" s="35"/>
      <c r="E26" s="35"/>
      <c r="F26" s="35"/>
      <c r="G26" s="35"/>
      <c r="H26" s="44">
        <v>6</v>
      </c>
      <c r="I26" s="36" t="s">
        <v>274</v>
      </c>
      <c r="J26" s="37"/>
    </row>
    <row r="27" spans="2:10" x14ac:dyDescent="0.3">
      <c r="B27" s="34"/>
      <c r="C27" s="35"/>
      <c r="D27" s="35"/>
      <c r="E27" s="35"/>
      <c r="F27" s="35"/>
      <c r="G27" s="35"/>
      <c r="H27" s="44">
        <v>7</v>
      </c>
      <c r="I27" s="36" t="s">
        <v>275</v>
      </c>
      <c r="J27" s="37"/>
    </row>
    <row r="28" spans="2:10" x14ac:dyDescent="0.3">
      <c r="B28" s="34"/>
      <c r="C28" s="35"/>
      <c r="D28" s="35"/>
      <c r="E28" s="35"/>
      <c r="F28" s="35"/>
      <c r="G28" s="35"/>
      <c r="H28" s="44"/>
      <c r="I28" s="45"/>
      <c r="J28" s="37"/>
    </row>
    <row r="29" spans="2:10" x14ac:dyDescent="0.3">
      <c r="B29" s="38"/>
      <c r="C29" s="39" t="s">
        <v>254</v>
      </c>
      <c r="D29" s="40"/>
      <c r="E29" s="40"/>
      <c r="F29" s="39" t="s">
        <v>265</v>
      </c>
      <c r="G29" s="39"/>
      <c r="H29" s="41" t="s">
        <v>263</v>
      </c>
      <c r="I29" s="41" t="s">
        <v>264</v>
      </c>
      <c r="J29" s="42"/>
    </row>
    <row r="30" spans="2:10" x14ac:dyDescent="0.3">
      <c r="B30" s="34"/>
      <c r="C30" s="35"/>
      <c r="D30" s="35" t="s">
        <v>266</v>
      </c>
      <c r="E30" s="35"/>
      <c r="F30" s="43">
        <v>3</v>
      </c>
      <c r="G30" s="35"/>
      <c r="H30" s="44">
        <v>1</v>
      </c>
      <c r="I30" s="36" t="s">
        <v>277</v>
      </c>
      <c r="J30" s="37"/>
    </row>
    <row r="31" spans="2:10" x14ac:dyDescent="0.3">
      <c r="B31" s="34"/>
      <c r="C31" s="35"/>
      <c r="D31" s="35" t="s">
        <v>267</v>
      </c>
      <c r="E31" s="35"/>
      <c r="F31" s="43">
        <v>3</v>
      </c>
      <c r="G31" s="35"/>
      <c r="H31" s="44">
        <v>2</v>
      </c>
      <c r="I31" s="36" t="s">
        <v>278</v>
      </c>
      <c r="J31" s="37"/>
    </row>
    <row r="32" spans="2:10" x14ac:dyDescent="0.3">
      <c r="B32" s="34"/>
      <c r="C32" s="35"/>
      <c r="D32" s="35" t="s">
        <v>268</v>
      </c>
      <c r="E32" s="35"/>
      <c r="F32" s="43">
        <v>1</v>
      </c>
      <c r="G32" s="35"/>
      <c r="H32" s="44">
        <v>3</v>
      </c>
      <c r="I32" s="36" t="s">
        <v>279</v>
      </c>
      <c r="J32" s="37"/>
    </row>
    <row r="33" spans="2:10" x14ac:dyDescent="0.3">
      <c r="B33" s="34"/>
      <c r="C33" s="35"/>
      <c r="D33" s="35" t="s">
        <v>276</v>
      </c>
      <c r="E33" s="35"/>
      <c r="F33" s="43">
        <v>1</v>
      </c>
      <c r="G33" s="35"/>
      <c r="H33" s="44">
        <v>4</v>
      </c>
      <c r="I33" s="36" t="s">
        <v>280</v>
      </c>
      <c r="J33" s="37"/>
    </row>
    <row r="34" spans="2:10" x14ac:dyDescent="0.3">
      <c r="B34" s="34"/>
      <c r="C34" s="35"/>
      <c r="D34" s="35"/>
      <c r="E34" s="35"/>
      <c r="F34" s="35"/>
      <c r="G34" s="35"/>
      <c r="H34" s="44">
        <v>5</v>
      </c>
      <c r="I34" s="36" t="s">
        <v>281</v>
      </c>
      <c r="J34" s="37"/>
    </row>
    <row r="35" spans="2:10" x14ac:dyDescent="0.3">
      <c r="B35" s="34"/>
      <c r="C35" s="35"/>
      <c r="D35" s="35"/>
      <c r="E35" s="35"/>
      <c r="F35" s="35"/>
      <c r="G35" s="35"/>
      <c r="H35" s="44">
        <v>6</v>
      </c>
      <c r="I35" s="36" t="s">
        <v>282</v>
      </c>
      <c r="J35" s="37"/>
    </row>
    <row r="36" spans="2:10" x14ac:dyDescent="0.3">
      <c r="B36" s="34"/>
      <c r="C36" s="35"/>
      <c r="D36" s="35"/>
      <c r="E36" s="35"/>
      <c r="F36" s="35"/>
      <c r="G36" s="35"/>
      <c r="H36" s="44">
        <v>7</v>
      </c>
      <c r="I36" s="36" t="s">
        <v>283</v>
      </c>
      <c r="J36" s="37"/>
    </row>
    <row r="37" spans="2:10" x14ac:dyDescent="0.3">
      <c r="B37" s="34"/>
      <c r="C37" s="35"/>
      <c r="D37" s="35"/>
      <c r="E37" s="35"/>
      <c r="F37" s="35"/>
      <c r="G37" s="35"/>
      <c r="H37" s="44"/>
      <c r="I37" s="36"/>
      <c r="J37" s="37"/>
    </row>
    <row r="38" spans="2:10" x14ac:dyDescent="0.3">
      <c r="B38" s="38"/>
      <c r="C38" s="39" t="s">
        <v>255</v>
      </c>
      <c r="D38" s="40"/>
      <c r="E38" s="40"/>
      <c r="F38" s="39" t="s">
        <v>265</v>
      </c>
      <c r="G38" s="39"/>
      <c r="H38" s="41" t="s">
        <v>263</v>
      </c>
      <c r="I38" s="41" t="s">
        <v>264</v>
      </c>
      <c r="J38" s="42"/>
    </row>
    <row r="39" spans="2:10" x14ac:dyDescent="0.3">
      <c r="B39" s="34"/>
      <c r="C39" s="35"/>
      <c r="D39" s="35" t="s">
        <v>266</v>
      </c>
      <c r="E39" s="35"/>
      <c r="F39" s="43">
        <v>8</v>
      </c>
      <c r="G39" s="35"/>
      <c r="H39" s="44">
        <v>1</v>
      </c>
      <c r="I39" s="36" t="s">
        <v>284</v>
      </c>
      <c r="J39" s="37"/>
    </row>
    <row r="40" spans="2:10" x14ac:dyDescent="0.3">
      <c r="B40" s="34"/>
      <c r="C40" s="35"/>
      <c r="D40" s="35" t="s">
        <v>267</v>
      </c>
      <c r="E40" s="35"/>
      <c r="F40" s="43">
        <v>6</v>
      </c>
      <c r="G40" s="35"/>
      <c r="H40" s="44">
        <v>2</v>
      </c>
      <c r="I40" s="36" t="s">
        <v>285</v>
      </c>
      <c r="J40" s="37"/>
    </row>
    <row r="41" spans="2:10" x14ac:dyDescent="0.3">
      <c r="B41" s="34"/>
      <c r="C41" s="35"/>
      <c r="D41" s="35" t="s">
        <v>268</v>
      </c>
      <c r="E41" s="35"/>
      <c r="F41" s="43">
        <v>8</v>
      </c>
      <c r="G41" s="35"/>
      <c r="H41" s="44">
        <v>3</v>
      </c>
      <c r="I41" s="36" t="s">
        <v>286</v>
      </c>
      <c r="J41" s="37"/>
    </row>
    <row r="42" spans="2:10" x14ac:dyDescent="0.3">
      <c r="B42" s="34"/>
      <c r="C42" s="35"/>
      <c r="D42" s="35" t="s">
        <v>276</v>
      </c>
      <c r="E42" s="35"/>
      <c r="F42" s="43">
        <v>8</v>
      </c>
      <c r="G42" s="35"/>
      <c r="H42" s="44">
        <v>4</v>
      </c>
      <c r="I42" s="36" t="s">
        <v>287</v>
      </c>
      <c r="J42" s="37"/>
    </row>
    <row r="43" spans="2:10" x14ac:dyDescent="0.3">
      <c r="B43" s="34"/>
      <c r="C43" s="35"/>
      <c r="D43" s="35"/>
      <c r="E43" s="35"/>
      <c r="F43" s="35"/>
      <c r="G43" s="35"/>
      <c r="H43" s="44">
        <v>5</v>
      </c>
      <c r="I43" s="36" t="s">
        <v>288</v>
      </c>
      <c r="J43" s="37"/>
    </row>
    <row r="44" spans="2:10" x14ac:dyDescent="0.3">
      <c r="B44" s="34"/>
      <c r="C44" s="35"/>
      <c r="D44" s="35"/>
      <c r="E44" s="35"/>
      <c r="F44" s="35"/>
      <c r="G44" s="35"/>
      <c r="H44" s="44">
        <v>6</v>
      </c>
      <c r="I44" s="36" t="s">
        <v>289</v>
      </c>
      <c r="J44" s="37"/>
    </row>
    <row r="45" spans="2:10" x14ac:dyDescent="0.3">
      <c r="B45" s="34"/>
      <c r="C45" s="35"/>
      <c r="D45" s="35"/>
      <c r="E45" s="35"/>
      <c r="F45" s="35"/>
      <c r="G45" s="35"/>
      <c r="H45" s="44">
        <v>7</v>
      </c>
      <c r="I45" s="36" t="s">
        <v>290</v>
      </c>
      <c r="J45" s="37"/>
    </row>
    <row r="46" spans="2:10" x14ac:dyDescent="0.3">
      <c r="B46" s="34"/>
      <c r="C46" s="35"/>
      <c r="D46" s="35"/>
      <c r="E46" s="35"/>
      <c r="F46" s="35"/>
      <c r="G46" s="35"/>
      <c r="H46" s="44">
        <v>8</v>
      </c>
      <c r="I46" s="36" t="s">
        <v>291</v>
      </c>
      <c r="J46" s="37"/>
    </row>
    <row r="47" spans="2:10" x14ac:dyDescent="0.3">
      <c r="B47" s="34"/>
      <c r="C47" s="35"/>
      <c r="D47" s="35"/>
      <c r="E47" s="35"/>
      <c r="F47" s="35"/>
      <c r="G47" s="35"/>
      <c r="H47" s="44">
        <v>9</v>
      </c>
      <c r="I47" s="36" t="s">
        <v>292</v>
      </c>
      <c r="J47" s="37"/>
    </row>
    <row r="48" spans="2:10" x14ac:dyDescent="0.3">
      <c r="B48" s="34"/>
      <c r="C48" s="35"/>
      <c r="D48" s="35"/>
      <c r="E48" s="35"/>
      <c r="F48" s="35"/>
      <c r="G48" s="35"/>
      <c r="H48" s="44">
        <v>10</v>
      </c>
      <c r="I48" s="36" t="s">
        <v>293</v>
      </c>
      <c r="J48" s="37"/>
    </row>
    <row r="49" spans="2:10" x14ac:dyDescent="0.3">
      <c r="B49" s="34"/>
      <c r="C49" s="35"/>
      <c r="D49" s="35"/>
      <c r="E49" s="35"/>
      <c r="F49" s="35"/>
      <c r="G49" s="35"/>
      <c r="H49" s="44"/>
      <c r="I49" s="36"/>
      <c r="J49" s="37"/>
    </row>
    <row r="50" spans="2:10" x14ac:dyDescent="0.3">
      <c r="B50" s="38"/>
      <c r="C50" s="39" t="s">
        <v>256</v>
      </c>
      <c r="D50" s="40"/>
      <c r="E50" s="40"/>
      <c r="F50" s="39" t="s">
        <v>265</v>
      </c>
      <c r="G50" s="39"/>
      <c r="H50" s="41" t="s">
        <v>263</v>
      </c>
      <c r="I50" s="41" t="s">
        <v>264</v>
      </c>
      <c r="J50" s="42"/>
    </row>
    <row r="51" spans="2:10" x14ac:dyDescent="0.3">
      <c r="B51" s="34"/>
      <c r="C51" s="35"/>
      <c r="D51" s="35" t="s">
        <v>266</v>
      </c>
      <c r="E51" s="35"/>
      <c r="F51" s="43">
        <v>1</v>
      </c>
      <c r="G51" s="35"/>
      <c r="H51" s="44">
        <v>1</v>
      </c>
      <c r="I51" s="36" t="s">
        <v>294</v>
      </c>
      <c r="J51" s="37"/>
    </row>
    <row r="52" spans="2:10" x14ac:dyDescent="0.3">
      <c r="B52" s="34"/>
      <c r="C52" s="35"/>
      <c r="D52" s="35" t="s">
        <v>267</v>
      </c>
      <c r="E52" s="35"/>
      <c r="F52" s="43">
        <v>1</v>
      </c>
      <c r="G52" s="35"/>
      <c r="H52" s="44">
        <v>2</v>
      </c>
      <c r="I52" s="36" t="s">
        <v>295</v>
      </c>
      <c r="J52" s="37"/>
    </row>
    <row r="53" spans="2:10" x14ac:dyDescent="0.3">
      <c r="B53" s="34"/>
      <c r="C53" s="35"/>
      <c r="D53" s="35" t="s">
        <v>268</v>
      </c>
      <c r="E53" s="35"/>
      <c r="F53" s="43">
        <v>1</v>
      </c>
      <c r="G53" s="35"/>
      <c r="H53" s="44"/>
      <c r="I53" s="36"/>
      <c r="J53" s="37"/>
    </row>
    <row r="54" spans="2:10" x14ac:dyDescent="0.3">
      <c r="B54" s="34"/>
      <c r="C54" s="35"/>
      <c r="D54" s="35" t="s">
        <v>276</v>
      </c>
      <c r="E54" s="35"/>
      <c r="F54" s="43">
        <v>1</v>
      </c>
      <c r="G54" s="35"/>
      <c r="H54" s="44"/>
      <c r="I54" s="36"/>
      <c r="J54" s="37"/>
    </row>
    <row r="55" spans="2:10" x14ac:dyDescent="0.3">
      <c r="B55" s="34"/>
      <c r="C55" s="35"/>
      <c r="D55" s="35"/>
      <c r="E55" s="35"/>
      <c r="F55" s="35"/>
      <c r="G55" s="35"/>
      <c r="H55" s="36"/>
      <c r="I55" s="36"/>
      <c r="J55" s="37"/>
    </row>
    <row r="56" spans="2:10" x14ac:dyDescent="0.3">
      <c r="B56" s="38"/>
      <c r="C56" s="39" t="s">
        <v>257</v>
      </c>
      <c r="D56" s="40"/>
      <c r="E56" s="40"/>
      <c r="F56" s="39" t="s">
        <v>265</v>
      </c>
      <c r="G56" s="39"/>
      <c r="H56" s="41" t="s">
        <v>263</v>
      </c>
      <c r="I56" s="41" t="s">
        <v>264</v>
      </c>
      <c r="J56" s="42"/>
    </row>
    <row r="57" spans="2:10" x14ac:dyDescent="0.3">
      <c r="B57" s="34"/>
      <c r="C57" s="35"/>
      <c r="D57" s="35" t="s">
        <v>309</v>
      </c>
      <c r="E57" s="35"/>
      <c r="F57" s="43">
        <v>1</v>
      </c>
      <c r="G57" s="35"/>
      <c r="H57" s="44">
        <v>1</v>
      </c>
      <c r="I57" s="36" t="s">
        <v>296</v>
      </c>
      <c r="J57" s="37"/>
    </row>
    <row r="58" spans="2:10" x14ac:dyDescent="0.3">
      <c r="B58" s="34"/>
      <c r="C58" s="35"/>
      <c r="D58" s="35"/>
      <c r="E58" s="35"/>
      <c r="F58" s="35"/>
      <c r="G58" s="35"/>
      <c r="H58" s="44">
        <v>2</v>
      </c>
      <c r="I58" s="36" t="s">
        <v>297</v>
      </c>
      <c r="J58" s="37"/>
    </row>
    <row r="59" spans="2:10" x14ac:dyDescent="0.3">
      <c r="B59" s="34"/>
      <c r="C59" s="35"/>
      <c r="D59" s="35"/>
      <c r="E59" s="35"/>
      <c r="F59" s="35"/>
      <c r="G59" s="35"/>
      <c r="H59" s="44">
        <v>3</v>
      </c>
      <c r="I59" s="36" t="s">
        <v>298</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258</v>
      </c>
      <c r="D62" s="40"/>
      <c r="E62" s="40"/>
      <c r="F62" s="39" t="s">
        <v>265</v>
      </c>
      <c r="G62" s="39"/>
      <c r="H62" s="41" t="s">
        <v>263</v>
      </c>
      <c r="I62" s="41" t="s">
        <v>264</v>
      </c>
      <c r="J62" s="42"/>
    </row>
    <row r="63" spans="2:10" x14ac:dyDescent="0.3">
      <c r="B63" s="34"/>
      <c r="C63" s="35"/>
      <c r="D63" s="35" t="s">
        <v>309</v>
      </c>
      <c r="E63" s="35"/>
      <c r="F63" s="43">
        <v>1</v>
      </c>
      <c r="G63" s="35"/>
      <c r="H63" s="44">
        <v>1</v>
      </c>
      <c r="I63" s="36" t="s">
        <v>299</v>
      </c>
      <c r="J63" s="37"/>
    </row>
    <row r="64" spans="2:10" x14ac:dyDescent="0.3">
      <c r="B64" s="34"/>
      <c r="C64" s="35"/>
      <c r="D64" s="35"/>
      <c r="E64" s="35"/>
      <c r="F64" s="35"/>
      <c r="G64" s="35"/>
      <c r="H64" s="44">
        <v>2</v>
      </c>
      <c r="I64" s="36" t="s">
        <v>300</v>
      </c>
      <c r="J64" s="37"/>
    </row>
    <row r="65" spans="2:10" x14ac:dyDescent="0.3">
      <c r="B65" s="34"/>
      <c r="C65" s="35"/>
      <c r="D65" s="35"/>
      <c r="E65" s="35"/>
      <c r="F65" s="35"/>
      <c r="G65" s="35"/>
      <c r="H65" s="44">
        <v>3</v>
      </c>
      <c r="I65" s="36" t="s">
        <v>301</v>
      </c>
      <c r="J65" s="37"/>
    </row>
    <row r="66" spans="2:10" x14ac:dyDescent="0.3">
      <c r="B66" s="34"/>
      <c r="C66" s="35"/>
      <c r="D66" s="35"/>
      <c r="E66" s="35"/>
      <c r="F66" s="35"/>
      <c r="G66" s="35"/>
      <c r="H66" s="44">
        <v>4</v>
      </c>
      <c r="I66" s="36" t="s">
        <v>302</v>
      </c>
      <c r="J66" s="37"/>
    </row>
    <row r="67" spans="2:10" x14ac:dyDescent="0.3">
      <c r="B67" s="34"/>
      <c r="C67" s="35"/>
      <c r="D67" s="35"/>
      <c r="E67" s="35"/>
      <c r="F67" s="35"/>
      <c r="G67" s="35"/>
      <c r="H67" s="44">
        <v>5</v>
      </c>
      <c r="I67" s="36" t="s">
        <v>303</v>
      </c>
      <c r="J67" s="37"/>
    </row>
    <row r="68" spans="2:10" x14ac:dyDescent="0.3">
      <c r="B68" s="34"/>
      <c r="C68" s="35"/>
      <c r="D68" s="35"/>
      <c r="E68" s="35"/>
      <c r="F68" s="35"/>
      <c r="G68" s="35"/>
      <c r="H68" s="36"/>
      <c r="I68" s="36"/>
      <c r="J68" s="37"/>
    </row>
    <row r="69" spans="2:10" x14ac:dyDescent="0.3">
      <c r="B69" s="38"/>
      <c r="C69" s="39" t="s">
        <v>259</v>
      </c>
      <c r="D69" s="40"/>
      <c r="E69" s="40"/>
      <c r="F69" s="39" t="s">
        <v>265</v>
      </c>
      <c r="G69" s="39"/>
      <c r="H69" s="41" t="s">
        <v>263</v>
      </c>
      <c r="I69" s="41" t="s">
        <v>264</v>
      </c>
      <c r="J69" s="42"/>
    </row>
    <row r="70" spans="2:10" x14ac:dyDescent="0.3">
      <c r="B70" s="34"/>
      <c r="C70" s="35"/>
      <c r="D70" s="35" t="s">
        <v>309</v>
      </c>
      <c r="E70" s="35"/>
      <c r="F70" s="43">
        <v>4</v>
      </c>
      <c r="G70" s="35"/>
      <c r="H70" s="44">
        <v>1</v>
      </c>
      <c r="I70" s="36" t="s">
        <v>304</v>
      </c>
      <c r="J70" s="37"/>
    </row>
    <row r="71" spans="2:10" x14ac:dyDescent="0.3">
      <c r="B71" s="34"/>
      <c r="C71" s="35"/>
      <c r="D71" s="35"/>
      <c r="E71" s="35"/>
      <c r="F71" s="35"/>
      <c r="G71" s="35"/>
      <c r="H71" s="44">
        <v>2</v>
      </c>
      <c r="I71" s="36" t="s">
        <v>305</v>
      </c>
      <c r="J71" s="37"/>
    </row>
    <row r="72" spans="2:10" x14ac:dyDescent="0.3">
      <c r="B72" s="34"/>
      <c r="C72" s="35"/>
      <c r="D72" s="35"/>
      <c r="E72" s="35"/>
      <c r="F72" s="35"/>
      <c r="G72" s="35"/>
      <c r="H72" s="44">
        <v>3</v>
      </c>
      <c r="I72" s="36" t="s">
        <v>306</v>
      </c>
      <c r="J72" s="37"/>
    </row>
    <row r="73" spans="2:10" x14ac:dyDescent="0.3">
      <c r="B73" s="34"/>
      <c r="C73" s="35"/>
      <c r="D73" s="35"/>
      <c r="E73" s="35"/>
      <c r="F73" s="35"/>
      <c r="G73" s="35"/>
      <c r="H73" s="44">
        <v>4</v>
      </c>
      <c r="I73" s="36" t="s">
        <v>307</v>
      </c>
      <c r="J73" s="37"/>
    </row>
    <row r="74" spans="2:10" x14ac:dyDescent="0.3">
      <c r="B74" s="34"/>
      <c r="C74" s="35"/>
      <c r="D74" s="35"/>
      <c r="E74" s="35"/>
      <c r="F74" s="35"/>
      <c r="G74" s="35"/>
      <c r="H74" s="44">
        <v>5</v>
      </c>
      <c r="I74" s="36" t="s">
        <v>308</v>
      </c>
      <c r="J74" s="37"/>
    </row>
    <row r="75" spans="2:10" x14ac:dyDescent="0.3">
      <c r="B75" s="34"/>
      <c r="C75" s="35"/>
      <c r="D75" s="35"/>
      <c r="E75" s="35"/>
      <c r="F75" s="35"/>
      <c r="G75" s="35"/>
      <c r="H75" s="36"/>
      <c r="I75" s="36"/>
      <c r="J75" s="37"/>
    </row>
    <row r="76" spans="2:10" x14ac:dyDescent="0.3">
      <c r="B76" s="38"/>
      <c r="C76" s="39" t="s">
        <v>310</v>
      </c>
      <c r="D76" s="40"/>
      <c r="E76" s="40"/>
      <c r="F76" s="39" t="s">
        <v>265</v>
      </c>
      <c r="G76" s="39"/>
      <c r="H76" s="41" t="s">
        <v>263</v>
      </c>
      <c r="I76" s="41" t="s">
        <v>264</v>
      </c>
      <c r="J76" s="42"/>
    </row>
    <row r="77" spans="2:10" x14ac:dyDescent="0.3">
      <c r="B77" s="34"/>
      <c r="C77" s="35"/>
      <c r="D77" s="35" t="s">
        <v>266</v>
      </c>
      <c r="E77" s="35"/>
      <c r="F77" s="43">
        <v>8</v>
      </c>
      <c r="G77" s="35"/>
      <c r="H77" s="44">
        <v>1</v>
      </c>
      <c r="I77" s="36" t="s">
        <v>311</v>
      </c>
      <c r="J77" s="37"/>
    </row>
    <row r="78" spans="2:10" x14ac:dyDescent="0.3">
      <c r="B78" s="34"/>
      <c r="C78" s="35"/>
      <c r="D78" s="35" t="s">
        <v>267</v>
      </c>
      <c r="E78" s="35"/>
      <c r="F78" s="43">
        <v>6</v>
      </c>
      <c r="G78" s="35"/>
      <c r="H78" s="46">
        <v>2</v>
      </c>
      <c r="I78" s="36" t="s">
        <v>312</v>
      </c>
      <c r="J78" s="37"/>
    </row>
    <row r="79" spans="2:10" x14ac:dyDescent="0.3">
      <c r="B79" s="34"/>
      <c r="C79" s="35"/>
      <c r="D79" s="35" t="s">
        <v>268</v>
      </c>
      <c r="E79" s="35"/>
      <c r="F79" s="43">
        <v>4</v>
      </c>
      <c r="G79" s="35"/>
      <c r="H79" s="46">
        <v>3</v>
      </c>
      <c r="I79" s="36" t="s">
        <v>313</v>
      </c>
      <c r="J79" s="37"/>
    </row>
    <row r="80" spans="2:10" x14ac:dyDescent="0.3">
      <c r="B80" s="34"/>
      <c r="C80" s="35"/>
      <c r="D80" s="35" t="s">
        <v>276</v>
      </c>
      <c r="E80" s="35"/>
      <c r="F80" s="43">
        <v>4</v>
      </c>
      <c r="G80" s="35"/>
      <c r="H80" s="46">
        <v>4</v>
      </c>
      <c r="I80" s="36" t="s">
        <v>314</v>
      </c>
      <c r="J80" s="37"/>
    </row>
    <row r="81" spans="2:10" x14ac:dyDescent="0.3">
      <c r="B81" s="34"/>
      <c r="C81" s="24" t="s">
        <v>365</v>
      </c>
      <c r="D81" s="35"/>
      <c r="E81" s="35"/>
      <c r="F81" s="35"/>
      <c r="G81" s="35"/>
      <c r="H81" s="46">
        <v>5</v>
      </c>
      <c r="I81" s="36" t="s">
        <v>315</v>
      </c>
      <c r="J81" s="37"/>
    </row>
    <row r="82" spans="2:10" x14ac:dyDescent="0.3">
      <c r="B82" s="34"/>
      <c r="C82" s="24" t="s">
        <v>366</v>
      </c>
      <c r="D82" s="35"/>
      <c r="E82" s="35"/>
      <c r="F82" s="35"/>
      <c r="G82" s="35"/>
      <c r="H82" s="46">
        <v>6</v>
      </c>
      <c r="I82" s="36" t="s">
        <v>316</v>
      </c>
      <c r="J82" s="37"/>
    </row>
    <row r="83" spans="2:10" x14ac:dyDescent="0.3">
      <c r="B83" s="34"/>
      <c r="C83" s="35"/>
      <c r="D83" s="35"/>
      <c r="E83" s="35"/>
      <c r="F83" s="35"/>
      <c r="G83" s="35"/>
      <c r="H83" s="46">
        <v>7</v>
      </c>
      <c r="I83" s="36" t="s">
        <v>317</v>
      </c>
      <c r="J83" s="37"/>
    </row>
    <row r="84" spans="2:10" x14ac:dyDescent="0.3">
      <c r="B84" s="34"/>
      <c r="C84" s="35"/>
      <c r="D84" s="35"/>
      <c r="E84" s="35"/>
      <c r="F84" s="35"/>
      <c r="G84" s="35"/>
      <c r="H84" s="44">
        <v>8</v>
      </c>
      <c r="I84" s="36" t="s">
        <v>318</v>
      </c>
      <c r="J84" s="37"/>
    </row>
    <row r="85" spans="2:10" x14ac:dyDescent="0.3">
      <c r="B85" s="34"/>
      <c r="C85" s="35"/>
      <c r="D85" s="35"/>
      <c r="E85" s="35"/>
      <c r="F85" s="35"/>
      <c r="G85" s="35"/>
      <c r="H85" s="44">
        <v>9</v>
      </c>
      <c r="I85" s="36" t="s">
        <v>319</v>
      </c>
      <c r="J85" s="37"/>
    </row>
    <row r="86" spans="2:10" x14ac:dyDescent="0.3">
      <c r="B86" s="34"/>
      <c r="C86" s="35"/>
      <c r="D86" s="35"/>
      <c r="E86" s="35"/>
      <c r="F86" s="35"/>
      <c r="G86" s="35"/>
      <c r="H86" s="46">
        <v>10</v>
      </c>
      <c r="I86" s="36" t="s">
        <v>320</v>
      </c>
      <c r="J86" s="37"/>
    </row>
    <row r="87" spans="2:10" x14ac:dyDescent="0.3">
      <c r="B87" s="34"/>
      <c r="C87" s="35"/>
      <c r="D87" s="35"/>
      <c r="E87" s="35"/>
      <c r="F87" s="35"/>
      <c r="G87" s="35"/>
      <c r="H87" s="46">
        <v>11</v>
      </c>
      <c r="I87" s="36" t="s">
        <v>321</v>
      </c>
      <c r="J87" s="37"/>
    </row>
    <row r="88" spans="2:10" x14ac:dyDescent="0.3">
      <c r="B88" s="34"/>
      <c r="C88" s="35"/>
      <c r="D88" s="35"/>
      <c r="E88" s="35"/>
      <c r="F88" s="35"/>
      <c r="G88" s="35"/>
      <c r="H88" s="46">
        <v>12</v>
      </c>
      <c r="I88" s="36" t="s">
        <v>322</v>
      </c>
      <c r="J88" s="37"/>
    </row>
    <row r="89" spans="2:10" x14ac:dyDescent="0.3">
      <c r="B89" s="34"/>
      <c r="C89" s="35"/>
      <c r="D89" s="35"/>
      <c r="E89" s="35"/>
      <c r="F89" s="35"/>
      <c r="G89" s="35"/>
      <c r="H89" s="46">
        <v>13</v>
      </c>
      <c r="I89" s="36" t="s">
        <v>323</v>
      </c>
      <c r="J89" s="37"/>
    </row>
    <row r="90" spans="2:10" x14ac:dyDescent="0.3">
      <c r="B90" s="34"/>
      <c r="C90" s="35"/>
      <c r="D90" s="35"/>
      <c r="E90" s="35"/>
      <c r="F90" s="35"/>
      <c r="G90" s="35"/>
      <c r="H90" s="44">
        <v>14</v>
      </c>
      <c r="I90" s="36" t="s">
        <v>324</v>
      </c>
      <c r="J90" s="37"/>
    </row>
    <row r="91" spans="2:10" x14ac:dyDescent="0.3">
      <c r="B91" s="34"/>
      <c r="C91" s="35"/>
      <c r="D91" s="35"/>
      <c r="E91" s="35"/>
      <c r="F91" s="35"/>
      <c r="G91" s="35"/>
      <c r="H91" s="44">
        <v>15</v>
      </c>
      <c r="I91" s="36" t="s">
        <v>325</v>
      </c>
      <c r="J91" s="37"/>
    </row>
    <row r="92" spans="2:10" x14ac:dyDescent="0.3">
      <c r="B92" s="34"/>
      <c r="C92" s="35"/>
      <c r="D92" s="35"/>
      <c r="E92" s="35"/>
      <c r="F92" s="35"/>
      <c r="G92" s="35"/>
      <c r="H92" s="36"/>
      <c r="I92" s="36"/>
      <c r="J92" s="37"/>
    </row>
    <row r="93" spans="2:10" x14ac:dyDescent="0.3">
      <c r="B93" s="38"/>
      <c r="C93" s="39" t="s">
        <v>261</v>
      </c>
      <c r="D93" s="40"/>
      <c r="E93" s="40"/>
      <c r="F93" s="39" t="s">
        <v>265</v>
      </c>
      <c r="G93" s="39"/>
      <c r="H93" s="41" t="s">
        <v>263</v>
      </c>
      <c r="I93" s="41" t="s">
        <v>264</v>
      </c>
      <c r="J93" s="42"/>
    </row>
    <row r="94" spans="2:10" x14ac:dyDescent="0.3">
      <c r="B94" s="34"/>
      <c r="C94" s="35"/>
      <c r="D94" s="35" t="s">
        <v>266</v>
      </c>
      <c r="E94" s="35"/>
      <c r="F94" s="43">
        <v>3</v>
      </c>
      <c r="G94" s="35"/>
      <c r="H94" s="47">
        <v>1</v>
      </c>
      <c r="I94" s="36" t="s">
        <v>326</v>
      </c>
      <c r="J94" s="37"/>
    </row>
    <row r="95" spans="2:10" x14ac:dyDescent="0.3">
      <c r="B95" s="34"/>
      <c r="C95" s="35"/>
      <c r="D95" s="35" t="s">
        <v>267</v>
      </c>
      <c r="E95" s="35"/>
      <c r="F95" s="43">
        <v>3</v>
      </c>
      <c r="G95" s="35"/>
      <c r="H95" s="47">
        <v>2</v>
      </c>
      <c r="I95" s="36" t="s">
        <v>327</v>
      </c>
      <c r="J95" s="37"/>
    </row>
    <row r="96" spans="2:10" x14ac:dyDescent="0.3">
      <c r="B96" s="34"/>
      <c r="C96" s="35"/>
      <c r="D96" s="35" t="s">
        <v>268</v>
      </c>
      <c r="E96" s="35"/>
      <c r="F96" s="43">
        <v>3</v>
      </c>
      <c r="G96" s="35"/>
      <c r="H96" s="47">
        <v>3</v>
      </c>
      <c r="I96" s="36" t="s">
        <v>328</v>
      </c>
      <c r="J96" s="37"/>
    </row>
    <row r="97" spans="2:10" x14ac:dyDescent="0.3">
      <c r="B97" s="34"/>
      <c r="C97" s="35"/>
      <c r="D97" s="35" t="s">
        <v>276</v>
      </c>
      <c r="E97" s="35"/>
      <c r="F97" s="43">
        <v>3</v>
      </c>
      <c r="G97" s="35"/>
      <c r="H97" s="47">
        <v>4</v>
      </c>
      <c r="I97" s="36" t="s">
        <v>329</v>
      </c>
      <c r="J97" s="37"/>
    </row>
    <row r="98" spans="2:10" x14ac:dyDescent="0.3">
      <c r="B98" s="34"/>
      <c r="C98" s="35"/>
      <c r="D98" s="35"/>
      <c r="E98" s="35"/>
      <c r="F98" s="35"/>
      <c r="G98" s="35"/>
      <c r="H98" s="47">
        <v>5</v>
      </c>
      <c r="I98" s="36" t="s">
        <v>330</v>
      </c>
      <c r="J98" s="37"/>
    </row>
    <row r="99" spans="2:10" x14ac:dyDescent="0.3">
      <c r="B99" s="34"/>
      <c r="C99" s="35"/>
      <c r="D99" s="35"/>
      <c r="E99" s="35"/>
      <c r="F99" s="35"/>
      <c r="G99" s="35"/>
      <c r="H99" s="36"/>
      <c r="I99" s="36"/>
      <c r="J99" s="37"/>
    </row>
    <row r="100" spans="2:10" x14ac:dyDescent="0.3">
      <c r="B100" s="38"/>
      <c r="C100" s="39" t="s">
        <v>262</v>
      </c>
      <c r="D100" s="40"/>
      <c r="E100" s="40"/>
      <c r="F100" s="48" t="s">
        <v>341</v>
      </c>
      <c r="G100" s="39"/>
      <c r="H100" s="41" t="s">
        <v>263</v>
      </c>
      <c r="I100" s="41" t="s">
        <v>264</v>
      </c>
      <c r="J100" s="42"/>
    </row>
    <row r="101" spans="2:10" x14ac:dyDescent="0.3">
      <c r="B101" s="34"/>
      <c r="C101" s="35"/>
      <c r="D101" s="49" t="s">
        <v>340</v>
      </c>
      <c r="E101" s="35"/>
      <c r="F101" s="43">
        <v>4</v>
      </c>
      <c r="G101" s="35"/>
      <c r="H101" s="47">
        <v>1</v>
      </c>
      <c r="I101" s="36" t="s">
        <v>339</v>
      </c>
      <c r="J101" s="37"/>
    </row>
    <row r="102" spans="2:10" x14ac:dyDescent="0.3">
      <c r="B102" s="34"/>
      <c r="C102" s="35"/>
      <c r="D102" s="49" t="s">
        <v>340</v>
      </c>
      <c r="E102" s="35"/>
      <c r="F102" s="43">
        <v>6</v>
      </c>
      <c r="G102" s="35"/>
      <c r="H102" s="47">
        <v>2</v>
      </c>
      <c r="I102" s="36" t="s">
        <v>335</v>
      </c>
      <c r="J102" s="37"/>
    </row>
    <row r="103" spans="2:10" x14ac:dyDescent="0.3">
      <c r="B103" s="34"/>
      <c r="C103" s="35"/>
      <c r="D103" s="49" t="s">
        <v>340</v>
      </c>
      <c r="E103" s="35"/>
      <c r="F103" s="43">
        <v>8</v>
      </c>
      <c r="G103" s="35"/>
      <c r="H103" s="47">
        <v>3</v>
      </c>
      <c r="I103" s="36" t="s">
        <v>336</v>
      </c>
      <c r="J103" s="37"/>
    </row>
    <row r="104" spans="2:10" x14ac:dyDescent="0.3">
      <c r="B104" s="34"/>
      <c r="C104" s="35"/>
      <c r="D104" s="49" t="s">
        <v>340</v>
      </c>
      <c r="E104" s="35"/>
      <c r="F104" s="43">
        <v>12</v>
      </c>
      <c r="G104" s="35"/>
      <c r="H104" s="47">
        <v>4</v>
      </c>
      <c r="I104" s="36" t="s">
        <v>337</v>
      </c>
      <c r="J104" s="37"/>
    </row>
    <row r="105" spans="2:10" x14ac:dyDescent="0.3">
      <c r="B105" s="34"/>
      <c r="C105" s="35"/>
      <c r="D105" s="49"/>
      <c r="E105" s="35"/>
      <c r="F105" s="35"/>
      <c r="G105" s="35"/>
      <c r="H105" s="47">
        <v>5</v>
      </c>
      <c r="I105" s="36" t="s">
        <v>338</v>
      </c>
      <c r="J105" s="37"/>
    </row>
    <row r="106" spans="2:10" x14ac:dyDescent="0.3">
      <c r="B106" s="34"/>
      <c r="C106" s="35"/>
      <c r="D106" s="49" t="s">
        <v>345</v>
      </c>
      <c r="E106" s="35"/>
      <c r="F106" s="35"/>
      <c r="G106" s="35"/>
      <c r="H106" s="47"/>
      <c r="I106" s="36"/>
      <c r="J106" s="37"/>
    </row>
    <row r="107" spans="2:10" x14ac:dyDescent="0.3">
      <c r="B107" s="34"/>
      <c r="C107" s="35"/>
      <c r="D107" s="35" t="s">
        <v>266</v>
      </c>
      <c r="E107" s="35"/>
      <c r="F107" s="43">
        <v>3</v>
      </c>
      <c r="G107" s="35"/>
      <c r="H107" s="36"/>
      <c r="I107" s="36"/>
      <c r="J107" s="37"/>
    </row>
    <row r="108" spans="2:10" x14ac:dyDescent="0.3">
      <c r="B108" s="34"/>
      <c r="C108" s="35"/>
      <c r="D108" s="35" t="s">
        <v>267</v>
      </c>
      <c r="E108" s="35"/>
      <c r="F108" s="43">
        <v>3</v>
      </c>
      <c r="G108" s="35"/>
      <c r="H108" s="36"/>
      <c r="I108" s="36"/>
      <c r="J108" s="37"/>
    </row>
    <row r="109" spans="2:10" x14ac:dyDescent="0.3">
      <c r="B109" s="34"/>
      <c r="C109" s="35"/>
      <c r="D109" s="35" t="s">
        <v>268</v>
      </c>
      <c r="E109" s="35"/>
      <c r="F109" s="43">
        <v>3</v>
      </c>
      <c r="G109" s="35"/>
      <c r="H109" s="36"/>
      <c r="I109" s="36"/>
      <c r="J109" s="37"/>
    </row>
    <row r="110" spans="2:10" x14ac:dyDescent="0.3">
      <c r="B110" s="34"/>
      <c r="C110" s="35"/>
      <c r="D110" s="35" t="s">
        <v>276</v>
      </c>
      <c r="E110" s="35"/>
      <c r="F110" s="43">
        <v>3</v>
      </c>
      <c r="G110" s="35"/>
      <c r="H110" s="36"/>
      <c r="I110" s="36"/>
      <c r="J110" s="37"/>
    </row>
    <row r="111" spans="2:10" x14ac:dyDescent="0.3">
      <c r="B111" s="50"/>
      <c r="C111" s="51"/>
      <c r="D111" s="51"/>
      <c r="E111" s="51"/>
      <c r="F111" s="51"/>
      <c r="G111" s="51"/>
      <c r="H111" s="52"/>
      <c r="I111" s="52"/>
      <c r="J111" s="53"/>
    </row>
  </sheetData>
  <dataValidations disablePrompts="1"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369</v>
      </c>
    </row>
    <row r="2" spans="1:1" x14ac:dyDescent="0.3">
      <c r="A2" s="2" t="s">
        <v>370</v>
      </c>
    </row>
    <row r="3" spans="1:1" x14ac:dyDescent="0.3">
      <c r="A3" s="2" t="s">
        <v>368</v>
      </c>
    </row>
    <row r="4" spans="1:1" x14ac:dyDescent="0.3">
      <c r="A4" s="67" t="s">
        <v>371</v>
      </c>
    </row>
    <row r="5" spans="1:1" x14ac:dyDescent="0.3">
      <c r="A5" s="67" t="s">
        <v>372</v>
      </c>
    </row>
    <row r="9" spans="1:1" x14ac:dyDescent="0.3">
      <c r="A9" s="67" t="s">
        <v>374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363</v>
      </c>
      <c r="C1" t="s">
        <v>253</v>
      </c>
      <c r="D1" t="s">
        <v>254</v>
      </c>
      <c r="E1" t="s">
        <v>255</v>
      </c>
      <c r="F1" t="s">
        <v>256</v>
      </c>
      <c r="G1" t="s">
        <v>257</v>
      </c>
      <c r="H1" t="s">
        <v>258</v>
      </c>
      <c r="I1" t="s">
        <v>259</v>
      </c>
      <c r="J1" t="s">
        <v>260</v>
      </c>
      <c r="K1" t="s">
        <v>261</v>
      </c>
      <c r="L1" t="s">
        <v>331</v>
      </c>
      <c r="M1" t="s">
        <v>332</v>
      </c>
      <c r="N1" t="s">
        <v>333</v>
      </c>
      <c r="O1" t="s">
        <v>334</v>
      </c>
      <c r="P1" t="s">
        <v>342</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343</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209</v>
      </c>
      <c r="B1" s="71" t="s">
        <v>208</v>
      </c>
    </row>
    <row r="2" spans="1:2" x14ac:dyDescent="0.3">
      <c r="A2" s="72" t="s">
        <v>106</v>
      </c>
      <c r="B2" s="73">
        <f>+PCS!M14</f>
        <v>0.2</v>
      </c>
    </row>
    <row r="3" spans="1:2" x14ac:dyDescent="0.3">
      <c r="A3" s="72" t="s">
        <v>107</v>
      </c>
      <c r="B3" s="73">
        <f>+PCS!M15</f>
        <v>0.2</v>
      </c>
    </row>
    <row r="4" spans="1:2" x14ac:dyDescent="0.3">
      <c r="A4" s="72" t="s">
        <v>108</v>
      </c>
      <c r="B4" s="73">
        <f>+PCS!M16</f>
        <v>0.25</v>
      </c>
    </row>
    <row r="5" spans="1:2" x14ac:dyDescent="0.3">
      <c r="A5" s="72" t="s">
        <v>109</v>
      </c>
      <c r="B5" s="73">
        <f>+PCS!M17</f>
        <v>0.25</v>
      </c>
    </row>
    <row r="6" spans="1:2" x14ac:dyDescent="0.3">
      <c r="A6" s="72" t="s">
        <v>110</v>
      </c>
      <c r="B6" s="73">
        <f>+PCS!M18</f>
        <v>0.1</v>
      </c>
    </row>
    <row r="7" spans="1:2" x14ac:dyDescent="0.3">
      <c r="A7" s="72" t="s">
        <v>378</v>
      </c>
      <c r="B7" s="74" t="str">
        <f>PCS!D3</f>
        <v>YD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188</v>
      </c>
      <c r="C1" s="19" t="s">
        <v>123</v>
      </c>
    </row>
    <row r="2" spans="1:3" x14ac:dyDescent="0.3">
      <c r="A2" s="20" t="s">
        <v>189</v>
      </c>
      <c r="B2" s="20" t="s">
        <v>177</v>
      </c>
      <c r="C2" s="21">
        <f>+PCS!M68</f>
        <v>0.6</v>
      </c>
    </row>
    <row r="3" spans="1:3" x14ac:dyDescent="0.3">
      <c r="A3" s="20" t="s">
        <v>190</v>
      </c>
      <c r="B3" s="20" t="s">
        <v>179</v>
      </c>
      <c r="C3" s="21">
        <f>+PCS!M69</f>
        <v>0.1</v>
      </c>
    </row>
    <row r="4" spans="1:3" x14ac:dyDescent="0.3">
      <c r="A4" s="20" t="s">
        <v>191</v>
      </c>
      <c r="B4" s="20" t="s">
        <v>180</v>
      </c>
      <c r="C4" s="21">
        <f>+PCS!M70</f>
        <v>0.2</v>
      </c>
    </row>
    <row r="5" spans="1:3" x14ac:dyDescent="0.3">
      <c r="A5" s="20" t="s">
        <v>192</v>
      </c>
      <c r="B5" s="20" t="s">
        <v>181</v>
      </c>
      <c r="C5" s="21">
        <f>+PCS!M71</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235</v>
      </c>
      <c r="B2" s="2" t="s">
        <v>235</v>
      </c>
      <c r="C2" s="55" t="s">
        <v>361</v>
      </c>
      <c r="D2" s="15">
        <v>1</v>
      </c>
      <c r="E2" s="15">
        <v>100</v>
      </c>
      <c r="F2" s="16">
        <f>+PCS!D40</f>
        <v>0.03</v>
      </c>
      <c r="G2" s="16" t="str">
        <f>PCS!E40</f>
        <v>Relative</v>
      </c>
      <c r="H2" s="17">
        <f>+PCS!F40</f>
        <v>50</v>
      </c>
      <c r="I2" s="13" t="s">
        <v>128</v>
      </c>
    </row>
    <row r="3" spans="1:9" x14ac:dyDescent="0.3">
      <c r="A3" s="2" t="s">
        <v>236</v>
      </c>
      <c r="B3" s="2" t="s">
        <v>236</v>
      </c>
      <c r="C3" s="55" t="s">
        <v>362</v>
      </c>
      <c r="D3" s="15">
        <v>1</v>
      </c>
      <c r="E3" s="15">
        <v>100</v>
      </c>
      <c r="F3" s="16">
        <f>+PCS!D41</f>
        <v>0.01</v>
      </c>
      <c r="G3" s="16" t="str">
        <f>PCS!E41</f>
        <v>Relative</v>
      </c>
      <c r="H3" s="17">
        <f>+PCS!F41</f>
        <v>50</v>
      </c>
      <c r="I3" s="13" t="s">
        <v>128</v>
      </c>
    </row>
    <row r="4" spans="1:9" x14ac:dyDescent="0.3">
      <c r="A4" s="2" t="s">
        <v>237</v>
      </c>
      <c r="B4" s="2" t="s">
        <v>237</v>
      </c>
      <c r="C4" s="13" t="s">
        <v>218</v>
      </c>
      <c r="D4" s="15">
        <v>0</v>
      </c>
      <c r="E4" s="15">
        <v>10</v>
      </c>
      <c r="F4" s="16">
        <f>+PCS!D42</f>
        <v>0.15</v>
      </c>
      <c r="G4" s="16" t="str">
        <f>PCS!E42</f>
        <v>Relative</v>
      </c>
      <c r="H4" s="17">
        <f>+PCS!F42</f>
        <v>0.5</v>
      </c>
      <c r="I4" s="13" t="s">
        <v>129</v>
      </c>
    </row>
    <row r="5" spans="1:9" x14ac:dyDescent="0.3">
      <c r="A5" s="2" t="s">
        <v>238</v>
      </c>
      <c r="B5" s="2" t="s">
        <v>238</v>
      </c>
      <c r="C5" s="13" t="s">
        <v>219</v>
      </c>
      <c r="D5" s="15">
        <v>0</v>
      </c>
      <c r="E5" s="15">
        <v>10</v>
      </c>
      <c r="F5" s="16">
        <f>+PCS!D43</f>
        <v>0.1</v>
      </c>
      <c r="G5" s="16" t="str">
        <f>PCS!E43</f>
        <v>Relative</v>
      </c>
      <c r="H5" s="17">
        <f>+PCS!F43</f>
        <v>0.5</v>
      </c>
      <c r="I5" s="13" t="s">
        <v>129</v>
      </c>
    </row>
    <row r="6" spans="1:9" x14ac:dyDescent="0.3">
      <c r="A6" s="2" t="s">
        <v>239</v>
      </c>
      <c r="B6" s="2" t="s">
        <v>239</v>
      </c>
      <c r="C6" s="13" t="s">
        <v>220</v>
      </c>
      <c r="D6" s="15">
        <v>0</v>
      </c>
      <c r="E6" s="15">
        <v>10</v>
      </c>
      <c r="F6" s="16">
        <f>+PCS!D44</f>
        <v>0.05</v>
      </c>
      <c r="G6" s="16" t="str">
        <f>PCS!E44</f>
        <v>Relative</v>
      </c>
      <c r="H6" s="17">
        <f>+PCS!F44</f>
        <v>0.5</v>
      </c>
      <c r="I6" s="13" t="s">
        <v>129</v>
      </c>
    </row>
    <row r="7" spans="1:9" x14ac:dyDescent="0.3">
      <c r="A7" s="2" t="s">
        <v>240</v>
      </c>
      <c r="B7" s="2" t="s">
        <v>240</v>
      </c>
      <c r="C7" s="13" t="s">
        <v>221</v>
      </c>
      <c r="D7" s="15">
        <v>0</v>
      </c>
      <c r="E7" s="15">
        <v>10</v>
      </c>
      <c r="F7" s="16">
        <f>+PCS!D45</f>
        <v>0.1</v>
      </c>
      <c r="G7" s="16" t="str">
        <f>PCS!E45</f>
        <v>Relative</v>
      </c>
      <c r="H7" s="17">
        <f>+PCS!F45</f>
        <v>0.5</v>
      </c>
      <c r="I7" s="13" t="s">
        <v>129</v>
      </c>
    </row>
    <row r="8" spans="1:9" x14ac:dyDescent="0.3">
      <c r="A8" s="2" t="s">
        <v>241</v>
      </c>
      <c r="B8" s="2" t="s">
        <v>241</v>
      </c>
      <c r="C8" s="13" t="s">
        <v>222</v>
      </c>
      <c r="D8" s="15">
        <v>0</v>
      </c>
      <c r="E8" s="15">
        <v>10</v>
      </c>
      <c r="F8" s="16">
        <f>+PCS!D46</f>
        <v>0.05</v>
      </c>
      <c r="G8" s="16" t="str">
        <f>PCS!E46</f>
        <v>Relative</v>
      </c>
      <c r="H8" s="17">
        <f>+PCS!F46</f>
        <v>0.5</v>
      </c>
      <c r="I8" s="13" t="s">
        <v>129</v>
      </c>
    </row>
    <row r="9" spans="1:9" x14ac:dyDescent="0.3">
      <c r="A9" s="2" t="s">
        <v>242</v>
      </c>
      <c r="B9" s="2" t="s">
        <v>242</v>
      </c>
      <c r="C9" s="13" t="s">
        <v>223</v>
      </c>
      <c r="D9" s="15">
        <v>0</v>
      </c>
      <c r="E9" s="15">
        <v>10</v>
      </c>
      <c r="F9" s="16">
        <f>+PCS!D47</f>
        <v>0.03</v>
      </c>
      <c r="G9" s="16" t="str">
        <f>PCS!E47</f>
        <v>Relative</v>
      </c>
      <c r="H9" s="17">
        <f>+PCS!F47</f>
        <v>0.5</v>
      </c>
      <c r="I9" s="13" t="s">
        <v>129</v>
      </c>
    </row>
    <row r="10" spans="1:9" x14ac:dyDescent="0.3">
      <c r="A10" s="2" t="s">
        <v>243</v>
      </c>
      <c r="B10" s="2" t="s">
        <v>243</v>
      </c>
      <c r="C10" s="2" t="s">
        <v>224</v>
      </c>
      <c r="D10" s="15">
        <v>0</v>
      </c>
      <c r="E10" s="15">
        <v>10</v>
      </c>
      <c r="F10" s="16">
        <f>+PCS!D48</f>
        <v>0.1</v>
      </c>
      <c r="G10" s="16" t="str">
        <f>PCS!E48</f>
        <v>Relative</v>
      </c>
      <c r="H10" s="17">
        <f>+PCS!F48</f>
        <v>0.5</v>
      </c>
      <c r="I10" s="13" t="s">
        <v>129</v>
      </c>
    </row>
    <row r="11" spans="1:9" x14ac:dyDescent="0.3">
      <c r="A11" s="2" t="s">
        <v>244</v>
      </c>
      <c r="B11" s="2" t="s">
        <v>244</v>
      </c>
      <c r="C11" s="13" t="s">
        <v>225</v>
      </c>
      <c r="D11" s="15">
        <v>0</v>
      </c>
      <c r="E11" s="15">
        <v>10</v>
      </c>
      <c r="F11" s="16">
        <f>+PCS!D49</f>
        <v>0.05</v>
      </c>
      <c r="G11" s="16" t="str">
        <f>PCS!E49</f>
        <v>Relative</v>
      </c>
      <c r="H11" s="17">
        <f>+PCS!F49</f>
        <v>0.5</v>
      </c>
      <c r="I11" s="13" t="s">
        <v>129</v>
      </c>
    </row>
    <row r="12" spans="1:9" x14ac:dyDescent="0.3">
      <c r="A12" s="2" t="s">
        <v>245</v>
      </c>
      <c r="B12" s="2" t="s">
        <v>245</v>
      </c>
      <c r="C12" s="13" t="s">
        <v>226</v>
      </c>
      <c r="D12" s="15">
        <v>0</v>
      </c>
      <c r="E12" s="15">
        <v>10</v>
      </c>
      <c r="F12" s="16">
        <f>+PCS!D50</f>
        <v>0.03</v>
      </c>
      <c r="G12" s="16" t="str">
        <f>PCS!E50</f>
        <v>Relative</v>
      </c>
      <c r="H12" s="17">
        <f>+PCS!F50</f>
        <v>0.5</v>
      </c>
      <c r="I12" s="13" t="s">
        <v>129</v>
      </c>
    </row>
    <row r="13" spans="1:9" x14ac:dyDescent="0.3">
      <c r="A13" s="2" t="s">
        <v>246</v>
      </c>
      <c r="B13" s="2" t="s">
        <v>246</v>
      </c>
      <c r="C13" s="13" t="s">
        <v>227</v>
      </c>
      <c r="D13" s="15">
        <v>1</v>
      </c>
      <c r="E13" s="15">
        <v>100</v>
      </c>
      <c r="F13" s="16">
        <f>+PCS!D51</f>
        <v>0.03</v>
      </c>
      <c r="G13" s="16" t="str">
        <f>PCS!E51</f>
        <v>Relative</v>
      </c>
      <c r="H13" s="17">
        <f>+PCS!F51</f>
        <v>30</v>
      </c>
      <c r="I13" s="13" t="s">
        <v>154</v>
      </c>
    </row>
    <row r="14" spans="1:9" x14ac:dyDescent="0.3">
      <c r="A14" s="2" t="s">
        <v>247</v>
      </c>
      <c r="B14" s="2" t="s">
        <v>247</v>
      </c>
      <c r="C14" s="13" t="s">
        <v>228</v>
      </c>
      <c r="D14" s="15">
        <v>1</v>
      </c>
      <c r="E14" s="15">
        <v>100</v>
      </c>
      <c r="F14" s="16">
        <f>+PCS!D52</f>
        <v>0.02</v>
      </c>
      <c r="G14" s="16" t="str">
        <f>PCS!E52</f>
        <v>Relative</v>
      </c>
      <c r="H14" s="17">
        <f>+PCS!F52</f>
        <v>30</v>
      </c>
      <c r="I14" s="13" t="s">
        <v>154</v>
      </c>
    </row>
    <row r="15" spans="1:9" x14ac:dyDescent="0.3">
      <c r="A15" s="2" t="s">
        <v>248</v>
      </c>
      <c r="B15" s="2" t="s">
        <v>248</v>
      </c>
      <c r="C15" s="13" t="s">
        <v>229</v>
      </c>
      <c r="D15" s="15">
        <v>1</v>
      </c>
      <c r="E15" s="15">
        <v>100</v>
      </c>
      <c r="F15" s="16">
        <f>+PCS!D53</f>
        <v>0.01</v>
      </c>
      <c r="G15" s="16" t="str">
        <f>PCS!E53</f>
        <v>Relative</v>
      </c>
      <c r="H15" s="17">
        <f>+PCS!F53</f>
        <v>30</v>
      </c>
      <c r="I15" s="13" t="s">
        <v>154</v>
      </c>
    </row>
    <row r="16" spans="1:9" x14ac:dyDescent="0.3">
      <c r="A16" s="2" t="s">
        <v>249</v>
      </c>
      <c r="B16" s="2" t="s">
        <v>249</v>
      </c>
      <c r="C16" s="14" t="s">
        <v>230</v>
      </c>
      <c r="D16" s="15">
        <v>1</v>
      </c>
      <c r="E16" s="15">
        <v>500</v>
      </c>
      <c r="F16" s="16">
        <f>+PCS!D54</f>
        <v>0.06</v>
      </c>
      <c r="G16" s="16" t="str">
        <f>PCS!E54</f>
        <v>Relative</v>
      </c>
      <c r="H16" s="17">
        <f>+PCS!F54</f>
        <v>0</v>
      </c>
      <c r="I16" s="13" t="s">
        <v>127</v>
      </c>
    </row>
    <row r="17" spans="1:9" x14ac:dyDescent="0.3">
      <c r="A17" s="2" t="s">
        <v>250</v>
      </c>
      <c r="B17" s="2" t="s">
        <v>250</v>
      </c>
      <c r="C17" s="13" t="s">
        <v>231</v>
      </c>
      <c r="D17" s="15">
        <v>1</v>
      </c>
      <c r="E17" s="15">
        <v>500</v>
      </c>
      <c r="F17" s="16">
        <f>+PCS!D55</f>
        <v>0.04</v>
      </c>
      <c r="G17" s="16" t="str">
        <f>PCS!E55</f>
        <v>Relative</v>
      </c>
      <c r="H17" s="17">
        <f>+PCS!F55</f>
        <v>0</v>
      </c>
      <c r="I17" s="13" t="s">
        <v>127</v>
      </c>
    </row>
    <row r="18" spans="1:9" x14ac:dyDescent="0.3">
      <c r="A18" s="2" t="s">
        <v>251</v>
      </c>
      <c r="B18" s="2" t="s">
        <v>251</v>
      </c>
      <c r="C18" s="13" t="s">
        <v>232</v>
      </c>
      <c r="D18" s="15">
        <v>1</v>
      </c>
      <c r="E18" s="15">
        <v>500</v>
      </c>
      <c r="F18" s="16">
        <f>+PCS!D56</f>
        <v>0.02</v>
      </c>
      <c r="G18" s="16" t="str">
        <f>PCS!E56</f>
        <v>Relative</v>
      </c>
      <c r="H18" s="17">
        <f>+PCS!F56</f>
        <v>0</v>
      </c>
      <c r="I18" s="13" t="s">
        <v>127</v>
      </c>
    </row>
    <row r="19" spans="1:9" x14ac:dyDescent="0.3">
      <c r="A19" s="2" t="s">
        <v>252</v>
      </c>
      <c r="B19" s="2" t="s">
        <v>252</v>
      </c>
      <c r="C19" s="13" t="s">
        <v>233</v>
      </c>
      <c r="D19" s="15">
        <v>0</v>
      </c>
      <c r="E19" s="15">
        <v>1</v>
      </c>
      <c r="F19" s="16">
        <f>+PCS!D57</f>
        <v>0.02</v>
      </c>
      <c r="G19" s="16" t="str">
        <f>PCS!E57</f>
        <v>Relative</v>
      </c>
      <c r="H19" s="17">
        <f>+PCS!F57</f>
        <v>0</v>
      </c>
    </row>
    <row r="20" spans="1:9" x14ac:dyDescent="0.3">
      <c r="A20" s="2" t="s">
        <v>156</v>
      </c>
      <c r="B20" s="2" t="s">
        <v>156</v>
      </c>
      <c r="C20" s="13" t="s">
        <v>234</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F21" sqref="F21"/>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0.05</v>
      </c>
      <c r="D3" s="26">
        <f>VLOOKUP(PCS!C15,Ref!$A$2:$C$38,3,0)</f>
        <v>1</v>
      </c>
      <c r="E3" s="26" t="str">
        <f>VLOOKUP(PCS!C15,Ref!$A$2:$B$38,2,0)</f>
        <v>roof_1cm</v>
      </c>
    </row>
    <row r="4" spans="1:5" x14ac:dyDescent="0.3">
      <c r="A4" s="26" t="s">
        <v>98</v>
      </c>
      <c r="B4" s="26" t="str">
        <f t="shared" si="0"/>
        <v>__water_1c</v>
      </c>
      <c r="C4" s="27">
        <f>PCS!D16</f>
        <v>0.2</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__avg_gini</v>
      </c>
      <c r="C10" s="27">
        <f>PCS!D22</f>
        <v>0.3</v>
      </c>
      <c r="D10" s="26">
        <f>VLOOKUP(PCS!C22,Ref!$A$2:$C$38,3,0)</f>
        <v>0</v>
      </c>
      <c r="E10" s="26" t="str">
        <f>VLOOKUP(PCS!C22,Ref!$A$2:$B$38,2,0)</f>
        <v>avg_gini</v>
      </c>
    </row>
    <row r="11" spans="1:5" x14ac:dyDescent="0.3">
      <c r="A11" s="26" t="s">
        <v>105</v>
      </c>
      <c r="B11" s="26" t="e">
        <f t="shared" si="0"/>
        <v>#N/A</v>
      </c>
      <c r="C11" s="27">
        <f>PCS!D23</f>
        <v>0</v>
      </c>
      <c r="D11" s="26" t="e">
        <f>VLOOKUP(PCS!C23,Ref!$A$2:$C$38,3,0)</f>
        <v>#N/A</v>
      </c>
      <c r="E11" s="26" t="e">
        <f>VLOOKUP(PCS!C23,Ref!$A$2:$B$38,2,0)</f>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P7"/>
  <sheetViews>
    <sheetView showGridLines="0" workbookViewId="0">
      <selection activeCell="F21" sqref="F21"/>
    </sheetView>
  </sheetViews>
  <sheetFormatPr defaultRowHeight="14.4" x14ac:dyDescent="0.3"/>
  <cols>
    <col min="1" max="1" width="7.109375" bestFit="1" customWidth="1"/>
    <col min="2" max="4" width="13.21875" bestFit="1" customWidth="1"/>
    <col min="5" max="9" width="13.21875" customWidth="1"/>
    <col min="10" max="10" width="13.21875" bestFit="1" customWidth="1"/>
    <col min="11" max="11" width="8.77734375" bestFit="1" customWidth="1"/>
    <col min="12" max="12" width="14.109375" bestFit="1" customWidth="1"/>
    <col min="13" max="13" width="13.21875" bestFit="1" customWidth="1"/>
    <col min="14" max="14" width="11.88671875" bestFit="1" customWidth="1"/>
  </cols>
  <sheetData>
    <row r="1" spans="1:16" x14ac:dyDescent="0.3">
      <c r="A1" s="10" t="s">
        <v>203</v>
      </c>
      <c r="B1" s="5" t="s">
        <v>197</v>
      </c>
      <c r="C1" s="6" t="s">
        <v>201</v>
      </c>
      <c r="D1" s="6" t="s">
        <v>198</v>
      </c>
      <c r="E1" s="7" t="s">
        <v>199</v>
      </c>
      <c r="F1" s="8" t="s">
        <v>204</v>
      </c>
      <c r="G1" s="8" t="s">
        <v>200</v>
      </c>
      <c r="H1" s="8" t="s">
        <v>206</v>
      </c>
      <c r="I1" s="8" t="s">
        <v>205</v>
      </c>
      <c r="J1" s="9" t="s">
        <v>195</v>
      </c>
      <c r="K1" s="9" t="s">
        <v>193</v>
      </c>
      <c r="L1" s="9" t="s">
        <v>194</v>
      </c>
      <c r="M1" s="9" t="s">
        <v>202</v>
      </c>
      <c r="N1" s="9" t="s">
        <v>214</v>
      </c>
      <c r="O1" s="9" t="s">
        <v>215</v>
      </c>
      <c r="P1" s="9" t="s">
        <v>216</v>
      </c>
    </row>
    <row r="2" spans="1:16" x14ac:dyDescent="0.3">
      <c r="A2">
        <v>0</v>
      </c>
      <c r="B2" t="str">
        <f>+PCS!C65</f>
        <v>adm_centroids</v>
      </c>
      <c r="C2" t="str">
        <f>+PCS!D65</f>
        <v>Pop</v>
      </c>
      <c r="D2">
        <f>+PCS!E65</f>
        <v>0</v>
      </c>
      <c r="E2" t="str">
        <f>+PCS!C71</f>
        <v>adm_centroids</v>
      </c>
      <c r="F2" t="str">
        <f>+PCS!D71</f>
        <v>Pop</v>
      </c>
      <c r="G2">
        <f>+PCS!E71</f>
        <v>1000</v>
      </c>
      <c r="H2">
        <f>+PCS!F71</f>
        <v>50</v>
      </c>
      <c r="I2" s="11">
        <f>PCS!G71</f>
        <v>1</v>
      </c>
      <c r="J2" s="1">
        <f>+PCS!E87</f>
        <v>0.5</v>
      </c>
      <c r="K2" s="1">
        <f>+PCS!E88</f>
        <v>0.25</v>
      </c>
      <c r="L2" s="4">
        <f>+PCS!D93</f>
        <v>0.8</v>
      </c>
      <c r="M2" s="4">
        <f>+PCS!D94</f>
        <v>0.2</v>
      </c>
      <c r="N2" s="18">
        <f>PCS!C77</f>
        <v>1</v>
      </c>
      <c r="O2" s="18" t="str">
        <f>PCS!D77</f>
        <v>adm_centroids</v>
      </c>
      <c r="P2" s="18" t="str">
        <f>PCS!E77</f>
        <v>adm_centroids</v>
      </c>
    </row>
    <row r="3" spans="1:16" x14ac:dyDescent="0.3">
      <c r="A3">
        <v>1</v>
      </c>
      <c r="B3">
        <f>+PCS!C66</f>
        <v>0</v>
      </c>
      <c r="C3">
        <f>+PCS!D66</f>
        <v>0</v>
      </c>
      <c r="D3">
        <f>+PCS!E66</f>
        <v>0</v>
      </c>
      <c r="E3" t="str">
        <f>+PCS!C72</f>
        <v>Hospitals</v>
      </c>
      <c r="F3" t="str">
        <f>+PCS!D72</f>
        <v>Beds</v>
      </c>
      <c r="G3">
        <f>+PCS!E72</f>
        <v>10000</v>
      </c>
      <c r="H3">
        <f>+PCS!F72</f>
        <v>3</v>
      </c>
      <c r="I3" s="11">
        <f>PCS!G72</f>
        <v>5</v>
      </c>
      <c r="N3" s="18">
        <f>PCS!C78</f>
        <v>2</v>
      </c>
      <c r="O3" s="18" t="str">
        <f>PCS!D78</f>
        <v>adm_centroids</v>
      </c>
      <c r="P3" s="18" t="str">
        <f>PCS!E78</f>
        <v>Hospitals</v>
      </c>
    </row>
    <row r="4" spans="1:16" x14ac:dyDescent="0.3">
      <c r="A4">
        <v>2</v>
      </c>
      <c r="B4">
        <f>+PCS!C67</f>
        <v>0</v>
      </c>
      <c r="C4">
        <f>+PCS!D67</f>
        <v>0</v>
      </c>
      <c r="D4">
        <f>+PCS!E67</f>
        <v>0</v>
      </c>
      <c r="E4">
        <f>+PCS!C73</f>
        <v>0</v>
      </c>
      <c r="F4">
        <f>+PCS!D73</f>
        <v>0</v>
      </c>
      <c r="G4">
        <f>+PCS!E73</f>
        <v>0</v>
      </c>
      <c r="H4">
        <f>+PCS!F73</f>
        <v>0</v>
      </c>
      <c r="I4" s="11">
        <f>PCS!G73</f>
        <v>0</v>
      </c>
      <c r="N4" s="18">
        <f>PCS!C79</f>
        <v>3</v>
      </c>
      <c r="O4" s="18">
        <f>PCS!D79</f>
        <v>0</v>
      </c>
      <c r="P4" s="18">
        <f>PCS!E79</f>
        <v>0</v>
      </c>
    </row>
    <row r="5" spans="1:16" x14ac:dyDescent="0.3">
      <c r="A5">
        <v>3</v>
      </c>
      <c r="J5" t="s">
        <v>196</v>
      </c>
      <c r="N5" s="18">
        <f>PCS!C80</f>
        <v>4</v>
      </c>
      <c r="O5" s="18">
        <f>PCS!D80</f>
        <v>0</v>
      </c>
      <c r="P5" s="18">
        <f>PCS!E80</f>
        <v>0</v>
      </c>
    </row>
    <row r="6" spans="1:16" x14ac:dyDescent="0.3">
      <c r="A6">
        <v>4</v>
      </c>
      <c r="J6" t="s">
        <v>196</v>
      </c>
      <c r="N6" s="18">
        <f>PCS!C81</f>
        <v>5</v>
      </c>
      <c r="O6" s="18">
        <f>PCS!D81</f>
        <v>0</v>
      </c>
      <c r="P6" s="18">
        <f>PCS!E81</f>
        <v>0</v>
      </c>
    </row>
    <row r="7" spans="1:16" x14ac:dyDescent="0.3">
      <c r="A7">
        <v>5</v>
      </c>
      <c r="N7" s="18">
        <f>PCS!C82</f>
        <v>6</v>
      </c>
      <c r="O7" s="18">
        <f>PCS!D82</f>
        <v>0</v>
      </c>
      <c r="P7" s="18">
        <f>PCS!E82</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2017-10-07T18:16:45Z</dcterms:modified>
</cp:coreProperties>
</file>