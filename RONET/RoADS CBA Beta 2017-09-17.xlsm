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GitHub\RoadLabPro_Utils\RONET\"/>
    </mc:Choice>
  </mc:AlternateContent>
  <bookViews>
    <workbookView xWindow="0" yWindow="0" windowWidth="23040" windowHeight="8976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definedNames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1" l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B29" i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<sst xmlns="http://schemas.openxmlformats.org/spreadsheetml/2006/main" count="2161" uniqueCount="870">
  <si>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</si>
  <si>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</si>
  <si>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</si>
  <si>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</si>
  <si>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</si>
  <si>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</si>
  <si>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</si>
  <si>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</si>
  <si>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</si>
  <si>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</si>
  <si>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</si>
  <si>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</si>
  <si>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</si>
  <si>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</si>
  <si>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</si>
  <si>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</si>
  <si>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</si>
  <si>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</si>
  <si>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</si>
  <si>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</si>
  <si>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</si>
  <si>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</si>
  <si>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</si>
  <si>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</si>
  <si>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</si>
  <si>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</si>
  <si>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</si>
  <si>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</si>
  <si>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</si>
  <si>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</si>
  <si>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</si>
  <si>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</si>
  <si>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</si>
  <si>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</si>
  <si>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</si>
  <si>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</si>
  <si>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</si>
  <si>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</si>
  <si>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</si>
  <si>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</si>
  <si>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</si>
  <si>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</si>
  <si>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</si>
  <si>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</si>
  <si>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</si>
  <si>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</si>
  <si>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</si>
  <si>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</si>
  <si>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</si>
  <si>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</si>
  <si>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</si>
  <si>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</si>
  <si>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</si>
  <si>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</si>
  <si>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</si>
  <si>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</si>
  <si>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</si>
  <si>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</si>
  <si>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</si>
  <si>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</si>
  <si>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</si>
  <si>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</si>
  <si>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</si>
  <si>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</si>
  <si>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</si>
  <si>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</si>
  <si>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</si>
  <si>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</si>
  <si>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</si>
  <si>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</si>
  <si>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</si>
  <si>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</si>
  <si>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</si>
  <si>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</si>
  <si>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</si>
  <si>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</si>
  <si>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</si>
  <si>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</si>
  <si>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</si>
  <si>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</si>
  <si>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</si>
  <si>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</si>
  <si>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</si>
  <si>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</si>
  <si>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</si>
  <si>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</si>
  <si>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</si>
  <si>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</si>
  <si>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</si>
  <si>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</si>
  <si>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</si>
  <si>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</si>
  <si>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</si>
  <si>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</si>
  <si>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</si>
  <si>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</si>
  <si>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</si>
  <si>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</si>
  <si>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</si>
  <si>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</si>
  <si>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</si>
  <si>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</si>
  <si>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</si>
  <si>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</si>
  <si>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</si>
  <si>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</si>
  <si>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</si>
  <si>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</si>
  <si>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</si>
  <si>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</si>
  <si>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</si>
  <si>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</si>
  <si>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</si>
  <si>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</si>
  <si>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</si>
  <si>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</si>
  <si>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</si>
  <si>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</si>
  <si>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</si>
  <si>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</si>
  <si>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</si>
  <si>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</si>
  <si>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</si>
  <si>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</si>
  <si>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</si>
  <si>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</si>
  <si>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</si>
  <si>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</si>
  <si>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</si>
  <si>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</si>
  <si>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</si>
  <si>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</si>
  <si>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</si>
  <si>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</si>
  <si>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</si>
  <si>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</si>
  <si>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</si>
  <si>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</si>
  <si>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</si>
  <si>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</si>
  <si>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</si>
  <si>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</si>
  <si>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</si>
  <si>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</si>
  <si>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</si>
  <si>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</si>
  <si>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</si>
  <si>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</si>
  <si>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</si>
  <si>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</si>
  <si>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</si>
  <si>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</si>
  <si>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</si>
  <si>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</si>
  <si>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</si>
  <si>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</si>
  <si>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</si>
  <si>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</si>
  <si>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</si>
  <si>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</si>
  <si>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</si>
  <si>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</si>
  <si>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</si>
  <si>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</si>
  <si>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</si>
  <si>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</si>
  <si>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</si>
  <si>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</si>
  <si>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</si>
  <si>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</si>
  <si>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</si>
  <si>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</si>
  <si>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</si>
  <si>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</si>
  <si>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</si>
  <si>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</si>
  <si>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</si>
  <si>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</si>
  <si>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</si>
  <si>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</si>
  <si>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</si>
  <si>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</si>
  <si>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</si>
  <si>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</si>
  <si>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</si>
  <si>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</si>
  <si>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</si>
  <si>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</si>
  <si>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</si>
  <si>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</si>
  <si>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</si>
  <si>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</si>
  <si>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</si>
  <si>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</si>
  <si>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</si>
  <si>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</si>
  <si>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</si>
  <si>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</si>
  <si>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</si>
  <si>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</si>
  <si>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</si>
  <si>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</si>
  <si>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</si>
  <si>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</si>
  <si>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</si>
  <si>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</si>
  <si>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</si>
  <si>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</si>
  <si>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</si>
  <si>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</si>
  <si>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</si>
  <si>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</si>
  <si>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</si>
  <si>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</si>
  <si>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</si>
  <si>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</si>
  <si>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</si>
  <si>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</si>
  <si>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</si>
  <si>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</si>
  <si>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</si>
  <si>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</si>
  <si>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</si>
  <si>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</si>
  <si>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</si>
  <si>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</si>
  <si>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</si>
  <si>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</si>
  <si>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</si>
  <si>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</si>
  <si>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</si>
  <si>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</si>
  <si>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</si>
  <si>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</si>
  <si>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</si>
  <si>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</si>
  <si>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</si>
  <si>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</si>
  <si>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</si>
  <si>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</si>
  <si>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</si>
  <si>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</si>
  <si>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</si>
  <si>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</si>
  <si>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</si>
  <si>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</si>
  <si>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</si>
  <si>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</si>
  <si>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</si>
  <si>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</si>
  <si>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</si>
  <si>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</si>
  <si>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</si>
  <si>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</si>
  <si>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</si>
  <si>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</si>
  <si>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</si>
  <si>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</si>
  <si>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</si>
  <si>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</si>
  <si>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</si>
  <si>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</si>
  <si>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</si>
  <si>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</si>
  <si>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</si>
  <si>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</si>
  <si>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</si>
  <si>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</si>
  <si>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</si>
  <si>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</si>
  <si>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</si>
  <si>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</si>
  <si>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</si>
  <si>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</si>
  <si>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</si>
  <si>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</si>
  <si>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</si>
  <si>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</si>
  <si>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</si>
  <si>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</si>
  <si>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</si>
  <si>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</si>
  <si>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</si>
  <si>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</si>
  <si>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</si>
  <si>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</si>
  <si>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</si>
  <si>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</si>
  <si>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</si>
  <si>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</si>
  <si>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</si>
  <si>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</si>
  <si>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</si>
  <si>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</si>
  <si>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</si>
  <si>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</si>
  <si>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</si>
  <si>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</si>
  <si>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</si>
  <si>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</si>
  <si>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</si>
  <si>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</si>
  <si>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</si>
  <si>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</si>
  <si>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</si>
  <si>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</si>
  <si>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</si>
  <si>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</si>
  <si>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</si>
  <si>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</si>
  <si>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</si>
  <si>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</si>
  <si>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</si>
  <si>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</si>
  <si>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</si>
  <si>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</si>
  <si>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</si>
  <si>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</si>
  <si>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</si>
  <si>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</si>
  <si>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</si>
  <si>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</si>
  <si>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</si>
  <si>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</si>
  <si>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</si>
  <si>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0001</t>
  </si>
  <si>
    <t>Run Control</t>
  </si>
  <si>
    <t>Y</t>
  </si>
  <si>
    <t>0002</t>
  </si>
  <si>
    <t>0003</t>
  </si>
  <si>
    <t>0004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</si>
  <si>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</si>
  <si>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</si>
  <si>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</si>
  <si>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</si>
  <si>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</si>
  <si>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</si>
  <si>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</si>
  <si>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</si>
  <si>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</si>
  <si>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</si>
  <si>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</si>
  <si>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</si>
  <si>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</si>
  <si>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</si>
  <si>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</si>
  <si>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</si>
  <si>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</si>
  <si>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</si>
  <si>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</si>
  <si>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</si>
  <si>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</si>
  <si>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</si>
  <si>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</si>
  <si>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</si>
  <si>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</si>
  <si>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</si>
  <si>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</si>
  <si>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</si>
  <si>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</si>
  <si>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</si>
  <si>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</si>
  <si>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</si>
  <si>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</si>
  <si>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</si>
  <si>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</si>
  <si>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</si>
  <si>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</si>
  <si>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</si>
  <si>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</si>
  <si>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</si>
  <si>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</si>
  <si>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</si>
  <si>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</si>
  <si>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</si>
  <si>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</si>
  <si>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</si>
  <si>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</si>
  <si>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</si>
  <si>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</si>
  <si>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</si>
  <si>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</si>
  <si>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</si>
  <si>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</si>
  <si>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</si>
  <si>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</si>
  <si>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</si>
  <si>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</si>
  <si>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</si>
  <si>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</si>
  <si>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</si>
  <si>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</si>
  <si>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</si>
  <si>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</si>
  <si>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</si>
  <si>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</si>
  <si>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</si>
  <si>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</si>
  <si>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</si>
  <si>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</si>
  <si>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</si>
  <si>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</si>
  <si>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</si>
  <si>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</si>
  <si>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</si>
  <si>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</si>
  <si>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</si>
  <si>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</si>
  <si>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</si>
  <si>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</si>
  <si>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</si>
  <si>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</si>
  <si>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</si>
  <si>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</si>
  <si>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</si>
  <si>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</si>
  <si>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</si>
  <si>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</si>
  <si>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</si>
  <si>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</si>
  <si>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</si>
  <si>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</si>
  <si>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</si>
  <si>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</si>
  <si>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</si>
  <si>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</si>
  <si>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</si>
  <si>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</si>
  <si>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</si>
  <si>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</si>
  <si>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</si>
  <si>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</si>
  <si>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</si>
  <si>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</si>
  <si>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</si>
  <si>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</si>
  <si>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</si>
  <si>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</si>
  <si>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</si>
  <si>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</si>
  <si>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</si>
  <si>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</si>
  <si>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</si>
  <si>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</si>
  <si>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</si>
  <si>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</si>
  <si>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</si>
  <si>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</si>
  <si>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</si>
  <si>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</si>
  <si>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</si>
  <si>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</si>
  <si>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</si>
  <si>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</si>
  <si>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</si>
  <si>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</si>
  <si>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</si>
  <si>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</si>
  <si>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</si>
  <si>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</si>
  <si>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</si>
  <si>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</si>
  <si>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</si>
  <si>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</si>
  <si>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</si>
  <si>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</si>
  <si>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</si>
  <si>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</si>
  <si>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</si>
  <si>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</si>
  <si>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</si>
  <si>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</si>
  <si>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</si>
  <si>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</si>
  <si>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</si>
  <si>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</si>
  <si>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</si>
  <si>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</si>
  <si>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</si>
  <si>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</si>
  <si>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</si>
  <si>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</si>
  <si>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</si>
  <si>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</si>
  <si>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</si>
  <si>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</si>
  <si>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</si>
  <si>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</si>
  <si>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</si>
  <si>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</si>
  <si>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</si>
  <si>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</si>
  <si>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</si>
  <si>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</si>
  <si>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</si>
  <si>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</si>
  <si>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</si>
  <si>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</si>
  <si>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</si>
  <si>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</si>
  <si>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</si>
  <si>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</si>
  <si>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</si>
  <si>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</si>
  <si>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</si>
  <si>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</si>
  <si>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</si>
  <si>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</si>
  <si>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</si>
  <si>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</si>
  <si>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</si>
  <si>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</si>
  <si>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</si>
  <si>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</si>
  <si>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</si>
  <si>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</si>
  <si>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</si>
  <si>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</si>
  <si>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</si>
  <si>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</si>
  <si>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</si>
  <si>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</si>
  <si>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</si>
  <si>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</si>
  <si>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</si>
  <si>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</si>
  <si>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</si>
  <si>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</si>
  <si>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</si>
  <si>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</si>
  <si>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</si>
  <si>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</si>
  <si>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</si>
  <si>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</si>
  <si>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</si>
  <si>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</si>
  <si>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</si>
  <si>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</si>
  <si>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</si>
  <si>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</si>
  <si>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</si>
  <si>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</si>
  <si>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</si>
  <si>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</si>
  <si>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</si>
  <si>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</si>
  <si>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</si>
  <si>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</si>
  <si>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</si>
  <si>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</si>
  <si>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</si>
  <si>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</si>
  <si>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</si>
  <si>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</si>
  <si>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</si>
  <si>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</si>
  <si>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</si>
  <si>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</si>
  <si>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</si>
  <si>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</si>
  <si>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</si>
  <si>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</si>
  <si>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</si>
  <si>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</si>
  <si>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</si>
  <si>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</si>
  <si>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</si>
  <si>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</si>
  <si>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</si>
  <si>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</si>
  <si>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</si>
  <si>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</si>
  <si>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</si>
  <si>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</si>
  <si>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</si>
  <si>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</si>
  <si>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</si>
  <si>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</si>
  <si>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</si>
  <si>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</si>
  <si>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</si>
  <si>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</si>
  <si>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</si>
  <si>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</si>
  <si>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</si>
  <si>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</si>
  <si>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</si>
  <si>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</si>
  <si>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</si>
  <si>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</si>
  <si>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</si>
  <si>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</si>
  <si>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</si>
  <si>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</si>
  <si>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</si>
  <si>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</si>
  <si>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</si>
  <si>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</si>
  <si>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</si>
  <si>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</si>
  <si>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</si>
  <si>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</si>
  <si>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</si>
  <si>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</si>
  <si>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</si>
  <si>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</si>
  <si>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</si>
  <si>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</si>
  <si>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</si>
  <si>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</si>
  <si>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</si>
  <si>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</si>
  <si>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</si>
  <si>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</si>
  <si>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</si>
  <si>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</si>
  <si>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</si>
  <si>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</si>
  <si>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</si>
  <si>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</si>
  <si>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</si>
  <si>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</si>
  <si>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</si>
  <si>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</si>
  <si>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</si>
  <si>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</si>
  <si>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</si>
  <si>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</si>
  <si>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</si>
  <si>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</si>
  <si>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</si>
  <si>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</si>
  <si>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</si>
  <si>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</si>
  <si>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</si>
  <si>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</si>
  <si>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</si>
  <si>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</si>
  <si>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</si>
  <si>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</si>
  <si>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</si>
  <si>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</si>
  <si>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</si>
  <si>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</si>
  <si>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</si>
  <si>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</si>
  <si>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</si>
  <si>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</si>
  <si>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</si>
  <si>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</si>
  <si>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</si>
  <si>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</si>
  <si>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</si>
  <si>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</si>
  <si>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</si>
  <si>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</si>
  <si>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</si>
  <si>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</si>
  <si>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</si>
  <si>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</si>
  <si>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</si>
  <si>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</si>
  <si>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</si>
  <si>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</si>
  <si>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</si>
  <si>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</si>
  <si>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</si>
  <si>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</si>
  <si>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</si>
  <si>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</si>
  <si>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</si>
  <si>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</si>
  <si>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</si>
  <si>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</si>
  <si>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</si>
  <si>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</si>
  <si>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</si>
  <si>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</si>
  <si>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</si>
  <si>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</si>
  <si>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</si>
  <si>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</si>
  <si>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</si>
  <si>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</si>
  <si>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</si>
  <si>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</si>
  <si>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</si>
  <si>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</si>
  <si>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</si>
  <si>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</si>
  <si>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</si>
  <si>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</si>
  <si>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</si>
  <si>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</si>
  <si>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</si>
  <si>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</si>
  <si>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</si>
  <si>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</si>
  <si>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</si>
  <si>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</si>
  <si>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</si>
  <si>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</si>
  <si>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</si>
  <si>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</si>
  <si>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</si>
  <si>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</si>
  <si>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</si>
  <si>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</si>
  <si>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</si>
  <si>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</si>
  <si>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</si>
  <si>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</si>
  <si>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</si>
  <si>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</si>
  <si>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</si>
  <si>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</si>
  <si>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</si>
  <si>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</si>
  <si>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</si>
  <si>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</si>
  <si>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</si>
  <si>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</si>
  <si>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</si>
  <si>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</si>
  <si>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</si>
  <si>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</si>
  <si>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</si>
  <si>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</si>
  <si>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</si>
  <si>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</si>
  <si>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</si>
  <si>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</si>
  <si>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</si>
  <si>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</si>
  <si>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</si>
  <si>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</si>
  <si>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</si>
  <si>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</si>
  <si>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</si>
  <si>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</si>
  <si>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</si>
  <si>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</si>
  <si>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</si>
  <si>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</si>
  <si>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</si>
  <si>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</si>
  <si>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</si>
  <si>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</si>
  <si>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</si>
  <si>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</si>
  <si>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</si>
  <si>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</si>
  <si>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</si>
  <si>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</si>
  <si>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</si>
  <si>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</si>
  <si>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</si>
  <si>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</si>
  <si>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</si>
  <si>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</si>
  <si>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</si>
  <si>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</si>
  <si>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</si>
  <si>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</si>
  <si>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</si>
  <si>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</si>
  <si>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</si>
  <si>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</si>
  <si>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</si>
  <si>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</si>
  <si>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</si>
  <si>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</si>
  <si>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</si>
  <si>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</si>
  <si>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</si>
  <si>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</si>
  <si>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</si>
  <si>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</si>
  <si>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</si>
  <si>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</si>
  <si>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</si>
  <si>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</si>
  <si>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</si>
  <si>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</si>
  <si>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</si>
  <si>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</si>
  <si>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</si>
  <si>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</si>
  <si>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</si>
  <si>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</si>
  <si>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</si>
  <si>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</si>
  <si>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</si>
  <si>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</si>
  <si>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</si>
  <si>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</si>
  <si>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</si>
  <si>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</si>
  <si>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</si>
  <si>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</si>
  <si>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</si>
  <si>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</si>
  <si>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</si>
  <si>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</si>
  <si>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</si>
  <si>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</si>
  <si>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</si>
  <si>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</si>
  <si>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</si>
  <si>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</si>
  <si>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</si>
  <si>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</si>
  <si>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</si>
  <si>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</si>
  <si>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</si>
  <si>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</si>
  <si>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</si>
  <si>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</si>
  <si>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</si>
  <si>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</si>
  <si>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</si>
  <si>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</si>
  <si>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</si>
  <si>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</si>
  <si>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</si>
  <si>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</si>
  <si>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</si>
  <si>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</si>
  <si>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</si>
  <si>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</si>
  <si>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</si>
  <si>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</si>
  <si>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</si>
  <si>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</si>
  <si>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</si>
  <si>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</si>
  <si>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</si>
  <si>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</si>
  <si>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</si>
  <si>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</si>
  <si>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</si>
  <si>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</si>
  <si>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</si>
  <si>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</si>
  <si>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</si>
  <si>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</si>
  <si>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</si>
  <si>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</si>
  <si>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</si>
  <si>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</si>
  <si>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</si>
  <si>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</si>
  <si>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0005</t>
  </si>
  <si>
    <t>0006</t>
  </si>
  <si>
    <t>0007</t>
  </si>
  <si>
    <t>0008</t>
  </si>
  <si>
    <t>0009</t>
  </si>
  <si>
    <t>0010</t>
  </si>
  <si>
    <t>Unpaved Very Good</t>
  </si>
  <si>
    <t>Unpaved Good</t>
  </si>
  <si>
    <t>Unpaved Fair</t>
  </si>
  <si>
    <t>Unpaved Poor</t>
  </si>
  <si>
    <t>Unpaved Very Poor</t>
  </si>
  <si>
    <t>Paved Very Good</t>
  </si>
  <si>
    <t>Paved Good</t>
  </si>
  <si>
    <t>Paved Poor</t>
  </si>
  <si>
    <t>Paved Fair</t>
  </si>
  <si>
    <t>Paved Very Poor</t>
  </si>
  <si>
    <t>RoADS CBA Beta, Spetember 17, 2017</t>
  </si>
  <si>
    <t>Flow Net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</si>
</sst>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4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20" fontId="1" fillId="0" borderId="0" xfId="0" quotePrefix="1" applyNumberFormat="1" applyFont="1"/>
    <xf numFmtId="0" fontId="2" fillId="0" borderId="0" xfId="0" applyFont="1"/>
    <xf numFmtId="0" fontId="3" fillId="0" borderId="0" xfId="0" applyFont="1"/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2" fillId="0" borderId="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5" fillId="0" borderId="6" xfId="0" applyFont="1" applyBorder="1"/>
    <xf numFmtId="0" fontId="1" fillId="0" borderId="6" xfId="0" applyFont="1" applyFill="1" applyBorder="1"/>
    <xf numFmtId="0" fontId="1" fillId="0" borderId="8" xfId="0" applyFont="1" applyFill="1" applyBorder="1"/>
    <xf numFmtId="0" fontId="1" fillId="0" borderId="7" xfId="0" applyFont="1" applyBorder="1"/>
    <xf numFmtId="0" fontId="1" fillId="0" borderId="7" xfId="0" applyFont="1" applyFill="1" applyBorder="1"/>
    <xf numFmtId="0" fontId="1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2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9" xfId="0" applyFont="1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0" fontId="1" fillId="2" borderId="12" xfId="0" applyFont="1" applyFill="1" applyBorder="1" applyAlignment="1">
      <alignment horizontal="center"/>
    </xf>
    <xf numFmtId="0" fontId="4" fillId="4" borderId="10" xfId="0" applyFont="1" applyFill="1" applyBorder="1"/>
    <xf numFmtId="0" fontId="4" fillId="4" borderId="11" xfId="0" applyFont="1" applyFill="1" applyBorder="1"/>
    <xf numFmtId="3" fontId="1" fillId="0" borderId="0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1" fillId="0" borderId="1" xfId="0" quotePrefix="1" applyFont="1" applyBorder="1" applyAlignment="1">
      <alignment horizontal="left"/>
    </xf>
    <xf numFmtId="3" fontId="1" fillId="0" borderId="2" xfId="0" applyNumberFormat="1" applyFont="1" applyBorder="1" applyAlignment="1">
      <alignment horizontal="center"/>
    </xf>
    <xf numFmtId="0" fontId="1" fillId="0" borderId="4" xfId="0" quotePrefix="1" applyFont="1" applyBorder="1" applyAlignment="1">
      <alignment horizontal="left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5" fillId="0" borderId="10" xfId="0" applyFont="1" applyBorder="1"/>
    <xf numFmtId="0" fontId="5" fillId="0" borderId="11" xfId="0" applyFont="1" applyBorder="1"/>
    <xf numFmtId="0" fontId="5" fillId="0" borderId="9" xfId="0" applyFont="1" applyBorder="1" applyAlignment="1">
      <alignment horizontal="center"/>
    </xf>
    <xf numFmtId="3" fontId="5" fillId="0" borderId="2" xfId="0" applyNumberFormat="1" applyFont="1" applyBorder="1" applyAlignment="1">
      <alignment horizontal="center"/>
    </xf>
    <xf numFmtId="3" fontId="5" fillId="0" borderId="0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Fill="1" applyBorder="1" applyAlignment="1">
      <alignment horizontal="center"/>
    </xf>
    <xf numFmtId="0" fontId="5" fillId="0" borderId="3" xfId="0" applyFont="1" applyBorder="1"/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168" fontId="1" fillId="0" borderId="0" xfId="1" applyNumberFormat="1" applyFont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3" fontId="1" fillId="0" borderId="1" xfId="1" applyNumberFormat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3" fontId="1" fillId="0" borderId="4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3" fontId="1" fillId="0" borderId="4" xfId="1" applyNumberFormat="1" applyFont="1" applyBorder="1" applyAlignment="1">
      <alignment horizontal="center"/>
    </xf>
    <xf numFmtId="9" fontId="1" fillId="0" borderId="0" xfId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68" fontId="1" fillId="0" borderId="4" xfId="1" applyNumberFormat="1" applyFont="1" applyBorder="1" applyAlignment="1">
      <alignment horizontal="center"/>
    </xf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168" fontId="3" fillId="0" borderId="2" xfId="1" applyNumberFormat="1" applyFont="1" applyBorder="1" applyAlignment="1">
      <alignment horizontal="center"/>
    </xf>
    <xf numFmtId="168" fontId="3" fillId="0" borderId="0" xfId="1" applyNumberFormat="1" applyFont="1" applyBorder="1" applyAlignment="1">
      <alignment horizontal="center"/>
    </xf>
    <xf numFmtId="0" fontId="3" fillId="0" borderId="0" xfId="0" quotePrefix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2" fillId="0" borderId="0" xfId="0" applyFont="1" applyAlignment="1">
      <alignment horizontal="centerContinuous"/>
    </xf>
    <xf numFmtId="2" fontId="1" fillId="0" borderId="0" xfId="0" applyNumberFormat="1" applyFont="1"/>
    <xf numFmtId="2" fontId="5" fillId="0" borderId="0" xfId="0" applyNumberFormat="1" applyFont="1" applyBorder="1"/>
    <xf numFmtId="2" fontId="2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12.9226875</c:v>
                </c:pt>
                <c:pt idx="4">
                  <c:v>13.2457546875</c:v>
                </c:pt>
                <c:pt idx="5">
                  <c:v>13.576898554687499</c:v>
                </c:pt>
                <c:pt idx="6">
                  <c:v>13.916321018554687</c:v>
                </c:pt>
                <c:pt idx="7">
                  <c:v>14.264229044018554</c:v>
                </c:pt>
                <c:pt idx="8">
                  <c:v>14.620834770119018</c:v>
                </c:pt>
                <c:pt idx="9">
                  <c:v>2</c:v>
                </c:pt>
                <c:pt idx="10">
                  <c:v>2.0499999999999998</c:v>
                </c:pt>
                <c:pt idx="11">
                  <c:v>2.1012499999999998</c:v>
                </c:pt>
                <c:pt idx="12">
                  <c:v>2.1537812499999998</c:v>
                </c:pt>
                <c:pt idx="13">
                  <c:v>2.20762578125</c:v>
                </c:pt>
                <c:pt idx="14">
                  <c:v>2.2628164257812502</c:v>
                </c:pt>
                <c:pt idx="15">
                  <c:v>2.3193868364257813</c:v>
                </c:pt>
                <c:pt idx="16">
                  <c:v>2.3773715073364259</c:v>
                </c:pt>
                <c:pt idx="17">
                  <c:v>2.5</c:v>
                </c:pt>
                <c:pt idx="18">
                  <c:v>2.5625</c:v>
                </c:pt>
                <c:pt idx="19">
                  <c:v>2.6265624999999999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2</c:v>
                </c:pt>
                <c:pt idx="1">
                  <c:v>2.0499999999999998</c:v>
                </c:pt>
                <c:pt idx="2">
                  <c:v>2.1012499999999998</c:v>
                </c:pt>
                <c:pt idx="3">
                  <c:v>2.1537812499999998</c:v>
                </c:pt>
                <c:pt idx="4">
                  <c:v>2.20762578125</c:v>
                </c:pt>
                <c:pt idx="5">
                  <c:v>2.2628164257812502</c:v>
                </c:pt>
                <c:pt idx="6">
                  <c:v>2.3193868364257813</c:v>
                </c:pt>
                <c:pt idx="7">
                  <c:v>2.3773715073364259</c:v>
                </c:pt>
                <c:pt idx="8">
                  <c:v>2.5</c:v>
                </c:pt>
                <c:pt idx="9">
                  <c:v>2.5625</c:v>
                </c:pt>
                <c:pt idx="10">
                  <c:v>2.6265624999999999</c:v>
                </c:pt>
                <c:pt idx="11">
                  <c:v>2.6922265624999997</c:v>
                </c:pt>
                <c:pt idx="12">
                  <c:v>2.7595322265624995</c:v>
                </c:pt>
                <c:pt idx="13">
                  <c:v>2.8285205322265621</c:v>
                </c:pt>
                <c:pt idx="14">
                  <c:v>2.8992335455322262</c:v>
                </c:pt>
                <c:pt idx="15">
                  <c:v>2.9717143841705318</c:v>
                </c:pt>
                <c:pt idx="16">
                  <c:v>2.5</c:v>
                </c:pt>
                <c:pt idx="17">
                  <c:v>2.5625</c:v>
                </c:pt>
                <c:pt idx="18">
                  <c:v>2.6265624999999999</c:v>
                </c:pt>
                <c:pt idx="19">
                  <c:v>2.6922265624999997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12</c:v>
                </c:pt>
                <c:pt idx="1">
                  <c:v>2</c:v>
                </c:pt>
                <c:pt idx="2">
                  <c:v>2.0499999999999998</c:v>
                </c:pt>
                <c:pt idx="3">
                  <c:v>2.1012499999999998</c:v>
                </c:pt>
                <c:pt idx="4">
                  <c:v>2.1537812499999998</c:v>
                </c:pt>
                <c:pt idx="5">
                  <c:v>2.20762578125</c:v>
                </c:pt>
                <c:pt idx="6">
                  <c:v>2.2628164257812502</c:v>
                </c:pt>
                <c:pt idx="7">
                  <c:v>2.3193868364257813</c:v>
                </c:pt>
                <c:pt idx="8">
                  <c:v>2.3773715073364259</c:v>
                </c:pt>
                <c:pt idx="9">
                  <c:v>2.5</c:v>
                </c:pt>
                <c:pt idx="10">
                  <c:v>2.5625</c:v>
                </c:pt>
                <c:pt idx="11">
                  <c:v>2.6265624999999999</c:v>
                </c:pt>
                <c:pt idx="12">
                  <c:v>2.6922265624999997</c:v>
                </c:pt>
                <c:pt idx="13">
                  <c:v>2.7595322265624995</c:v>
                </c:pt>
                <c:pt idx="14">
                  <c:v>2.8285205322265621</c:v>
                </c:pt>
                <c:pt idx="15">
                  <c:v>2.8992335455322262</c:v>
                </c:pt>
                <c:pt idx="16">
                  <c:v>2.9717143841705318</c:v>
                </c:pt>
                <c:pt idx="17">
                  <c:v>2.5</c:v>
                </c:pt>
                <c:pt idx="18">
                  <c:v>2.5625</c:v>
                </c:pt>
                <c:pt idx="19">
                  <c:v>2.6265624999999999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2</c:v>
                </c:pt>
                <c:pt idx="3">
                  <c:v>2.0499999999999998</c:v>
                </c:pt>
                <c:pt idx="4">
                  <c:v>2.1012499999999998</c:v>
                </c:pt>
                <c:pt idx="5">
                  <c:v>2.1537812499999998</c:v>
                </c:pt>
                <c:pt idx="6">
                  <c:v>2.20762578125</c:v>
                </c:pt>
                <c:pt idx="7">
                  <c:v>2.2628164257812502</c:v>
                </c:pt>
                <c:pt idx="8">
                  <c:v>2.3193868364257813</c:v>
                </c:pt>
                <c:pt idx="9">
                  <c:v>2.3773715073364259</c:v>
                </c:pt>
                <c:pt idx="10">
                  <c:v>2.5</c:v>
                </c:pt>
                <c:pt idx="11">
                  <c:v>2.5625</c:v>
                </c:pt>
                <c:pt idx="12">
                  <c:v>2.6265624999999999</c:v>
                </c:pt>
                <c:pt idx="13">
                  <c:v>2.6922265624999997</c:v>
                </c:pt>
                <c:pt idx="14">
                  <c:v>2.7595322265624995</c:v>
                </c:pt>
                <c:pt idx="15">
                  <c:v>2.8285205322265621</c:v>
                </c:pt>
                <c:pt idx="16">
                  <c:v>2.8992335455322262</c:v>
                </c:pt>
                <c:pt idx="17">
                  <c:v>2.9717143841705318</c:v>
                </c:pt>
                <c:pt idx="18">
                  <c:v>2.5</c:v>
                </c:pt>
                <c:pt idx="19">
                  <c:v>2.5625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2</c:v>
                </c:pt>
                <c:pt idx="4">
                  <c:v>2.0499999999999998</c:v>
                </c:pt>
                <c:pt idx="5">
                  <c:v>2.1012499999999998</c:v>
                </c:pt>
                <c:pt idx="6">
                  <c:v>2.1537812499999998</c:v>
                </c:pt>
                <c:pt idx="7">
                  <c:v>2.20762578125</c:v>
                </c:pt>
                <c:pt idx="8">
                  <c:v>2.2628164257812502</c:v>
                </c:pt>
                <c:pt idx="9">
                  <c:v>2.3193868364257813</c:v>
                </c:pt>
                <c:pt idx="10">
                  <c:v>2.3773715073364259</c:v>
                </c:pt>
                <c:pt idx="11">
                  <c:v>2.5</c:v>
                </c:pt>
                <c:pt idx="12">
                  <c:v>2.5625</c:v>
                </c:pt>
                <c:pt idx="13">
                  <c:v>2.6265624999999999</c:v>
                </c:pt>
                <c:pt idx="14">
                  <c:v>2.6922265624999997</c:v>
                </c:pt>
                <c:pt idx="15">
                  <c:v>2.7595322265624995</c:v>
                </c:pt>
                <c:pt idx="16">
                  <c:v>2.8285205322265621</c:v>
                </c:pt>
                <c:pt idx="17">
                  <c:v>2.8992335455322262</c:v>
                </c:pt>
                <c:pt idx="18">
                  <c:v>2.9717143841705318</c:v>
                </c:pt>
                <c:pt idx="1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12.9226875</c:v>
                </c:pt>
                <c:pt idx="4">
                  <c:v>2</c:v>
                </c:pt>
                <c:pt idx="5">
                  <c:v>2.0499999999999998</c:v>
                </c:pt>
                <c:pt idx="6">
                  <c:v>2.1012499999999998</c:v>
                </c:pt>
                <c:pt idx="7">
                  <c:v>2.1537812499999998</c:v>
                </c:pt>
                <c:pt idx="8">
                  <c:v>2.20762578125</c:v>
                </c:pt>
                <c:pt idx="9">
                  <c:v>2.2628164257812502</c:v>
                </c:pt>
                <c:pt idx="10">
                  <c:v>2.3193868364257813</c:v>
                </c:pt>
                <c:pt idx="11">
                  <c:v>2.3773715073364259</c:v>
                </c:pt>
                <c:pt idx="12">
                  <c:v>2.5</c:v>
                </c:pt>
                <c:pt idx="13">
                  <c:v>2.5625</c:v>
                </c:pt>
                <c:pt idx="14">
                  <c:v>2.6265624999999999</c:v>
                </c:pt>
                <c:pt idx="15">
                  <c:v>2.6922265624999997</c:v>
                </c:pt>
                <c:pt idx="16">
                  <c:v>2.7595322265624995</c:v>
                </c:pt>
                <c:pt idx="17">
                  <c:v>2.8285205322265621</c:v>
                </c:pt>
                <c:pt idx="18">
                  <c:v>2.8992335455322262</c:v>
                </c:pt>
                <c:pt idx="19">
                  <c:v>2.9717143841705318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12.9226875</c:v>
                </c:pt>
                <c:pt idx="4">
                  <c:v>13.2457546875</c:v>
                </c:pt>
                <c:pt idx="5">
                  <c:v>2</c:v>
                </c:pt>
                <c:pt idx="6">
                  <c:v>2.0499999999999998</c:v>
                </c:pt>
                <c:pt idx="7">
                  <c:v>2.1012499999999998</c:v>
                </c:pt>
                <c:pt idx="8">
                  <c:v>2.1537812499999998</c:v>
                </c:pt>
                <c:pt idx="9">
                  <c:v>2.20762578125</c:v>
                </c:pt>
                <c:pt idx="10">
                  <c:v>2.2628164257812502</c:v>
                </c:pt>
                <c:pt idx="11">
                  <c:v>2.3193868364257813</c:v>
                </c:pt>
                <c:pt idx="12">
                  <c:v>2.3773715073364259</c:v>
                </c:pt>
                <c:pt idx="13">
                  <c:v>2.5</c:v>
                </c:pt>
                <c:pt idx="14">
                  <c:v>2.5625</c:v>
                </c:pt>
                <c:pt idx="15">
                  <c:v>2.6265624999999999</c:v>
                </c:pt>
                <c:pt idx="16">
                  <c:v>2.6922265624999997</c:v>
                </c:pt>
                <c:pt idx="17">
                  <c:v>2.7595322265624995</c:v>
                </c:pt>
                <c:pt idx="18">
                  <c:v>2.8285205322265621</c:v>
                </c:pt>
                <c:pt idx="19">
                  <c:v>2.8992335455322262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55"/>
  <sheetViews>
    <sheetView showGridLines="0" tabSelected="1" topLeftCell="N13" zoomScale="70" zoomScaleNormal="70" workbookViewId="0">
      <selection activeCell="R31" sqref="R31"/>
    </sheetView>
  </sheetViews>
  <sheetFormatPr defaultColWidth="9.109375" defaultRowHeight="13.8" x14ac:dyDescent="0.25"/>
  <cols>
    <col min="1" max="1" width="1.77734375" style="1" customWidth="1"/>
    <col min="2" max="2" width="30.6640625" style="1" customWidth="1"/>
    <col min="3" max="3" width="10.77734375" style="1" customWidth="1"/>
    <col min="4" max="4" width="20.77734375" style="1" customWidth="1"/>
    <col min="5" max="5" width="11.5546875" style="1" bestFit="1" customWidth="1"/>
    <col min="6" max="6" width="7" style="1" customWidth="1"/>
    <col min="7" max="7" width="8.109375" style="1" bestFit="1" customWidth="1"/>
    <col min="8" max="8" width="6.77734375" style="1" bestFit="1" customWidth="1"/>
    <col min="9" max="9" width="9.33203125" style="1" bestFit="1" customWidth="1"/>
    <col min="10" max="10" width="8.77734375" style="1" bestFit="1" customWidth="1"/>
    <col min="11" max="11" width="8.33203125" style="1" bestFit="1" customWidth="1"/>
    <col min="12" max="12" width="7.5546875" style="1" bestFit="1" customWidth="1"/>
    <col min="13" max="13" width="9" style="1" bestFit="1" customWidth="1"/>
    <col min="14" max="14" width="7.5546875" style="1" bestFit="1" customWidth="1"/>
    <col min="15" max="15" width="9" style="1" bestFit="1" customWidth="1"/>
    <col min="16" max="16" width="6.5546875" style="1" bestFit="1" customWidth="1"/>
    <col min="17" max="17" width="19" style="1" bestFit="1" customWidth="1"/>
    <col min="18" max="18" width="11.88671875" style="1" bestFit="1" customWidth="1"/>
    <col min="19" max="19" width="11.88671875" style="1" customWidth="1"/>
    <col min="20" max="21" width="12.109375" style="1" customWidth="1"/>
    <col min="22" max="22" width="14.109375" style="1" customWidth="1"/>
    <col min="23" max="23" width="19.44140625" style="1" bestFit="1" customWidth="1"/>
    <col min="24" max="24" width="12.6640625" style="1" bestFit="1" customWidth="1"/>
    <col min="25" max="25" width="10.21875" style="1" bestFit="1" customWidth="1"/>
    <col min="26" max="26" width="19.33203125" style="1" bestFit="1" customWidth="1"/>
    <col min="27" max="28" width="9.109375" style="1"/>
    <col min="29" max="29" width="10.109375" style="1" customWidth="1"/>
    <col min="30" max="30" width="13.109375" style="1" bestFit="1" customWidth="1"/>
    <col min="31" max="31" width="9.6640625" style="1" bestFit="1" customWidth="1"/>
    <col min="32" max="33" width="9.109375" style="1"/>
    <col min="34" max="34" width="14.5546875" style="1" bestFit="1" customWidth="1"/>
    <col min="35" max="35" width="9.109375" style="1"/>
    <col min="36" max="36" width="12.33203125" style="1" bestFit="1" customWidth="1"/>
    <col min="37" max="37" width="9.109375" style="1"/>
    <col min="38" max="38" width="9.88671875" style="1" customWidth="1"/>
    <col min="39" max="48" width="9.109375" style="1"/>
    <col min="49" max="51" width="10.6640625" style="1" customWidth="1"/>
    <col min="52" max="53" width="9.109375" style="1"/>
    <col min="54" max="54" width="25.77734375" style="1" customWidth="1"/>
    <col min="55" max="55" width="9.109375" style="1"/>
    <col min="56" max="56" width="11.5546875" style="1" bestFit="1" customWidth="1"/>
    <col min="57" max="57" width="14.88671875" style="1" bestFit="1" customWidth="1"/>
    <col min="58" max="59" width="9.109375" style="1"/>
    <col min="60" max="60" width="15" style="1" bestFit="1" customWidth="1"/>
    <col min="61" max="64" width="9.109375" style="1"/>
    <col min="65" max="65" width="11.33203125" style="1" bestFit="1" customWidth="1"/>
    <col min="66" max="125" width="5.77734375" style="1" customWidth="1"/>
    <col min="126" max="128" width="9.109375" style="1"/>
    <col min="129" max="129" width="11.88671875" style="1" bestFit="1" customWidth="1"/>
    <col min="130" max="130" width="11.88671875" style="1" customWidth="1"/>
    <col min="131" max="16384" width="9.109375" style="1"/>
  </cols>
  <sheetData>
    <row r="2" spans="2:61" x14ac:dyDescent="0.25">
      <c r="B2" s="100" t="s">
        <v>868</v>
      </c>
    </row>
    <row r="4" spans="2:61" x14ac:dyDescent="0.25">
      <c r="B4" s="10" t="s">
        <v>326</v>
      </c>
      <c r="C4" s="194"/>
      <c r="D4" s="194"/>
      <c r="E4" s="195"/>
    </row>
    <row r="5" spans="2:61" x14ac:dyDescent="0.25">
      <c r="B5" s="26" t="s">
        <v>554</v>
      </c>
      <c r="C5" s="28"/>
      <c r="D5" s="28"/>
      <c r="E5" s="181">
        <v>31</v>
      </c>
    </row>
    <row r="6" spans="2:61" x14ac:dyDescent="0.25">
      <c r="B6" s="40" t="s">
        <v>555</v>
      </c>
      <c r="C6" s="43"/>
      <c r="D6" s="43"/>
      <c r="E6" s="163">
        <v>40</v>
      </c>
      <c r="I6" s="2"/>
    </row>
    <row r="7" spans="2:61" x14ac:dyDescent="0.25">
      <c r="B7" s="19" t="s">
        <v>485</v>
      </c>
      <c r="C7" s="33"/>
      <c r="D7" s="33"/>
      <c r="E7" s="193" t="s">
        <v>327</v>
      </c>
      <c r="I7" s="2"/>
      <c r="Q7" s="2" t="s">
        <v>338</v>
      </c>
      <c r="T7" s="2" t="s">
        <v>15</v>
      </c>
      <c r="U7" s="151" t="s">
        <v>245</v>
      </c>
      <c r="V7" s="2" t="s">
        <v>24</v>
      </c>
      <c r="W7" s="2" t="s">
        <v>104</v>
      </c>
      <c r="X7" s="2" t="s">
        <v>109</v>
      </c>
      <c r="Y7" s="2" t="s">
        <v>351</v>
      </c>
      <c r="Z7" s="2" t="s">
        <v>29</v>
      </c>
      <c r="AD7" s="2" t="s">
        <v>7</v>
      </c>
      <c r="AJ7" s="2" t="s">
        <v>847</v>
      </c>
      <c r="AK7" s="1" t="s">
        <v>114</v>
      </c>
      <c r="AY7" s="2" t="s">
        <v>786</v>
      </c>
    </row>
    <row r="8" spans="2:61" x14ac:dyDescent="0.25">
      <c r="I8" s="2"/>
      <c r="Q8" s="2" t="s">
        <v>336</v>
      </c>
      <c r="T8" s="2" t="s">
        <v>16</v>
      </c>
      <c r="U8" s="151" t="s">
        <v>246</v>
      </c>
      <c r="V8" s="2" t="s">
        <v>25</v>
      </c>
      <c r="W8" s="2" t="s">
        <v>105</v>
      </c>
      <c r="X8" s="2" t="s">
        <v>110</v>
      </c>
      <c r="Y8" s="2" t="s">
        <v>352</v>
      </c>
      <c r="Z8" s="2" t="s">
        <v>2</v>
      </c>
      <c r="AD8" s="2" t="s">
        <v>8</v>
      </c>
      <c r="AJ8" s="2" t="s">
        <v>848</v>
      </c>
      <c r="AK8" s="3" t="s">
        <v>265</v>
      </c>
      <c r="AY8" s="2" t="s">
        <v>785</v>
      </c>
    </row>
    <row r="9" spans="2:61" x14ac:dyDescent="0.25">
      <c r="I9" s="2"/>
      <c r="Q9" s="2" t="s">
        <v>339</v>
      </c>
      <c r="T9" s="2"/>
      <c r="U9" s="151" t="s">
        <v>247</v>
      </c>
      <c r="V9" s="2" t="s">
        <v>26</v>
      </c>
      <c r="W9" s="2" t="s">
        <v>106</v>
      </c>
      <c r="X9" s="2" t="s">
        <v>112</v>
      </c>
      <c r="Y9" s="2"/>
      <c r="Z9" s="2" t="s">
        <v>3</v>
      </c>
      <c r="AD9" s="2" t="s">
        <v>9</v>
      </c>
      <c r="AJ9" s="2" t="s">
        <v>849</v>
      </c>
      <c r="AK9" s="3" t="s">
        <v>266</v>
      </c>
      <c r="AY9" s="2" t="s">
        <v>782</v>
      </c>
    </row>
    <row r="10" spans="2:61" x14ac:dyDescent="0.25">
      <c r="I10" s="2"/>
      <c r="Q10" s="2" t="s">
        <v>337</v>
      </c>
      <c r="U10" s="151" t="s">
        <v>248</v>
      </c>
      <c r="W10" s="2" t="s">
        <v>107</v>
      </c>
      <c r="X10" s="2" t="s">
        <v>111</v>
      </c>
      <c r="Y10" s="2"/>
      <c r="Z10" s="2" t="s">
        <v>4</v>
      </c>
      <c r="AD10" s="2" t="s">
        <v>10</v>
      </c>
      <c r="AJ10" s="2" t="s">
        <v>850</v>
      </c>
      <c r="AK10" s="4" t="s">
        <v>267</v>
      </c>
      <c r="AY10" s="2" t="s">
        <v>783</v>
      </c>
    </row>
    <row r="11" spans="2:61" x14ac:dyDescent="0.25">
      <c r="I11" s="2"/>
      <c r="Q11" s="2" t="s">
        <v>340</v>
      </c>
      <c r="U11" s="151" t="s">
        <v>249</v>
      </c>
      <c r="W11" s="2" t="s">
        <v>108</v>
      </c>
      <c r="X11" s="2" t="s">
        <v>113</v>
      </c>
      <c r="Y11" s="2"/>
      <c r="Z11" s="2" t="s">
        <v>5</v>
      </c>
      <c r="AD11" s="2" t="s">
        <v>11</v>
      </c>
      <c r="AK11" s="3" t="s">
        <v>268</v>
      </c>
      <c r="AY11" s="2" t="s">
        <v>784</v>
      </c>
    </row>
    <row r="12" spans="2:61" x14ac:dyDescent="0.25">
      <c r="I12" s="2"/>
      <c r="Q12" s="2" t="s">
        <v>341</v>
      </c>
      <c r="U12" s="151" t="s">
        <v>348</v>
      </c>
      <c r="W12" s="2"/>
      <c r="X12" s="2"/>
      <c r="Y12" s="2"/>
      <c r="Z12" s="2" t="s">
        <v>465</v>
      </c>
      <c r="AD12" s="2"/>
      <c r="AK12" s="3" t="s">
        <v>269</v>
      </c>
    </row>
    <row r="13" spans="2:61" x14ac:dyDescent="0.25">
      <c r="Q13" s="2" t="s">
        <v>342</v>
      </c>
      <c r="U13" s="1" t="s">
        <v>349</v>
      </c>
      <c r="W13" s="2"/>
      <c r="X13" s="2"/>
      <c r="Y13" s="2"/>
      <c r="Z13" s="2" t="s">
        <v>466</v>
      </c>
      <c r="AD13" s="2"/>
      <c r="AK13" s="3" t="s">
        <v>270</v>
      </c>
    </row>
    <row r="14" spans="2:61" x14ac:dyDescent="0.25">
      <c r="U14" s="1" t="s">
        <v>345</v>
      </c>
      <c r="W14" s="2"/>
      <c r="X14" s="2"/>
      <c r="Y14" s="2"/>
      <c r="AD14" s="2"/>
      <c r="AK14" s="1" t="s">
        <v>271</v>
      </c>
      <c r="BI14" s="6" t="s">
        <v>840</v>
      </c>
    </row>
    <row r="15" spans="2:61" x14ac:dyDescent="0.25">
      <c r="U15" s="4" t="s">
        <v>346</v>
      </c>
      <c r="AK15" s="1" t="s">
        <v>272</v>
      </c>
      <c r="BI15" s="6" t="s">
        <v>841</v>
      </c>
    </row>
    <row r="16" spans="2:61" x14ac:dyDescent="0.25">
      <c r="U16" s="4" t="s">
        <v>347</v>
      </c>
      <c r="AK16" s="3" t="s">
        <v>273</v>
      </c>
      <c r="BI16" s="6" t="s">
        <v>842</v>
      </c>
    </row>
    <row r="17" spans="1:144" x14ac:dyDescent="0.25">
      <c r="AK17" s="3" t="s">
        <v>274</v>
      </c>
      <c r="BI17" s="6" t="s">
        <v>843</v>
      </c>
    </row>
    <row r="18" spans="1:144" x14ac:dyDescent="0.25">
      <c r="B18" s="5" t="s">
        <v>548</v>
      </c>
      <c r="C18" s="421"/>
      <c r="D18" s="421"/>
      <c r="E18" s="421"/>
      <c r="AK18" s="3" t="s">
        <v>275</v>
      </c>
      <c r="BI18" s="6" t="s">
        <v>844</v>
      </c>
    </row>
    <row r="19" spans="1:144" x14ac:dyDescent="0.25">
      <c r="B19" s="6" t="s">
        <v>549</v>
      </c>
      <c r="AK19" s="3" t="s">
        <v>276</v>
      </c>
      <c r="BI19" s="6" t="s">
        <v>845</v>
      </c>
    </row>
    <row r="20" spans="1:144" x14ac:dyDescent="0.25">
      <c r="B20" s="1" t="s">
        <v>547</v>
      </c>
      <c r="AK20" s="1" t="s">
        <v>277</v>
      </c>
      <c r="BI20" s="411" t="s">
        <v>846</v>
      </c>
    </row>
    <row r="21" spans="1:144" x14ac:dyDescent="0.25">
      <c r="AK21" s="1" t="s">
        <v>278</v>
      </c>
    </row>
    <row r="23" spans="1:144" x14ac:dyDescent="0.25">
      <c r="B23" s="7" t="s">
        <v>129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9"/>
      <c r="AZ23" s="10" t="s">
        <v>355</v>
      </c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74" t="s">
        <v>356</v>
      </c>
      <c r="DW23" s="172"/>
      <c r="DX23" s="172"/>
      <c r="DY23" s="172"/>
      <c r="DZ23" s="172"/>
      <c r="EA23" s="172"/>
      <c r="EB23" s="172"/>
      <c r="EC23" s="172"/>
      <c r="ED23" s="172"/>
      <c r="EE23" s="172"/>
      <c r="EF23" s="172"/>
      <c r="EG23" s="172"/>
      <c r="EH23" s="172"/>
      <c r="EI23" s="172"/>
      <c r="EJ23" s="172"/>
      <c r="EK23" s="172"/>
      <c r="EL23" s="172"/>
      <c r="EM23" s="173"/>
    </row>
    <row r="24" spans="1:144" x14ac:dyDescent="0.25">
      <c r="B24" s="12" t="s">
        <v>30</v>
      </c>
      <c r="C24" s="13" t="s">
        <v>335</v>
      </c>
      <c r="D24" s="14"/>
      <c r="E24" s="13" t="s">
        <v>57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3" t="s">
        <v>74</v>
      </c>
      <c r="Q24" s="14"/>
      <c r="R24" s="14"/>
      <c r="S24" s="14"/>
      <c r="T24" s="14"/>
      <c r="U24" s="14"/>
      <c r="V24" s="14"/>
      <c r="W24" s="14"/>
      <c r="X24" s="14"/>
      <c r="Y24" s="14"/>
      <c r="Z24" s="15"/>
      <c r="AA24" s="16" t="s">
        <v>81</v>
      </c>
      <c r="AB24" s="17"/>
      <c r="AC24" s="18"/>
      <c r="AD24" s="16" t="s">
        <v>75</v>
      </c>
      <c r="AE24" s="14"/>
      <c r="AF24" s="14"/>
      <c r="AG24" s="14"/>
      <c r="AH24" s="17"/>
      <c r="AI24" s="14"/>
      <c r="AJ24" s="14"/>
      <c r="AK24" s="19"/>
      <c r="AL24" s="17" t="s">
        <v>99</v>
      </c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8"/>
      <c r="AX24" s="17"/>
      <c r="AY24" s="354" t="s">
        <v>60</v>
      </c>
      <c r="AZ24" s="21" t="s">
        <v>128</v>
      </c>
      <c r="BA24" s="21"/>
      <c r="BB24" s="21"/>
      <c r="BC24" s="21"/>
      <c r="BD24" s="21"/>
      <c r="BE24" s="21"/>
      <c r="BF24" s="21"/>
      <c r="BG24" s="21"/>
      <c r="BH24" s="21"/>
      <c r="BI24" s="21"/>
      <c r="BJ24" s="22"/>
      <c r="BK24" s="22"/>
      <c r="BL24" s="22"/>
      <c r="BM24" s="22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4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4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4"/>
      <c r="DV24" s="20" t="s">
        <v>161</v>
      </c>
      <c r="DW24" s="21"/>
      <c r="DX24" s="21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8"/>
    </row>
    <row r="25" spans="1:144" x14ac:dyDescent="0.25">
      <c r="B25" s="25" t="s">
        <v>334</v>
      </c>
      <c r="C25" s="26"/>
      <c r="D25" s="27"/>
      <c r="E25" s="28"/>
      <c r="F25" s="28"/>
      <c r="G25" s="28"/>
      <c r="H25" s="28"/>
      <c r="I25" s="28"/>
      <c r="J25" s="29"/>
      <c r="K25" s="29"/>
      <c r="L25" s="29"/>
      <c r="M25" s="29"/>
      <c r="N25" s="29"/>
      <c r="O25" s="29"/>
      <c r="P25" s="30"/>
      <c r="Q25" s="31" t="s">
        <v>36</v>
      </c>
      <c r="R25" s="29"/>
      <c r="S25" s="29"/>
      <c r="T25" s="29"/>
      <c r="U25" s="29"/>
      <c r="V25" s="29"/>
      <c r="W25" s="29"/>
      <c r="X25" s="29"/>
      <c r="Y25" s="29"/>
      <c r="Z25" s="28"/>
      <c r="AA25" s="26"/>
      <c r="AB25" s="28"/>
      <c r="AC25" s="27"/>
      <c r="AD25" s="30" t="s">
        <v>64</v>
      </c>
      <c r="AE25" s="101"/>
      <c r="AF25" s="17" t="s">
        <v>285</v>
      </c>
      <c r="AG25" s="18"/>
      <c r="AH25" s="148" t="s">
        <v>284</v>
      </c>
      <c r="AI25" s="101"/>
      <c r="AJ25" s="245" t="s">
        <v>499</v>
      </c>
      <c r="AK25" s="167"/>
      <c r="AL25" s="16" t="s">
        <v>100</v>
      </c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8"/>
      <c r="AX25" s="17"/>
      <c r="AY25" s="354" t="s">
        <v>501</v>
      </c>
      <c r="AZ25" s="21" t="s">
        <v>126</v>
      </c>
      <c r="BA25" s="21"/>
      <c r="BB25" s="21"/>
      <c r="BC25" s="21"/>
      <c r="BD25" s="21"/>
      <c r="BE25" s="36"/>
      <c r="BF25" s="37" t="s">
        <v>124</v>
      </c>
      <c r="BG25" s="38"/>
      <c r="BH25" s="17"/>
      <c r="BI25" s="38"/>
      <c r="BJ25" s="37" t="s">
        <v>281</v>
      </c>
      <c r="BK25" s="38"/>
      <c r="BL25" s="38"/>
      <c r="BM25" s="39"/>
      <c r="BN25" s="17" t="s">
        <v>385</v>
      </c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8"/>
      <c r="CH25" s="17" t="s">
        <v>130</v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8"/>
      <c r="DB25" s="17" t="s">
        <v>406</v>
      </c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8"/>
      <c r="DV25" s="175" t="s">
        <v>384</v>
      </c>
      <c r="DW25" s="175"/>
      <c r="DX25" s="17"/>
      <c r="DY25" s="33"/>
      <c r="DZ25" s="34"/>
      <c r="EA25" s="127" t="s">
        <v>100</v>
      </c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8"/>
    </row>
    <row r="26" spans="1:144" x14ac:dyDescent="0.25">
      <c r="B26" s="25" t="s">
        <v>48</v>
      </c>
      <c r="C26" s="40" t="s">
        <v>30</v>
      </c>
      <c r="D26" s="41" t="s">
        <v>30</v>
      </c>
      <c r="E26" s="42" t="s">
        <v>32</v>
      </c>
      <c r="F26" s="43" t="s">
        <v>31</v>
      </c>
      <c r="G26" s="43"/>
      <c r="H26" s="43"/>
      <c r="I26" s="43"/>
      <c r="J26" s="44" t="s">
        <v>51</v>
      </c>
      <c r="K26" s="44" t="s">
        <v>52</v>
      </c>
      <c r="L26" s="44" t="s">
        <v>51</v>
      </c>
      <c r="M26" s="44" t="s">
        <v>51</v>
      </c>
      <c r="N26" s="45" t="s">
        <v>52</v>
      </c>
      <c r="O26" s="45" t="s">
        <v>52</v>
      </c>
      <c r="P26" s="46"/>
      <c r="Q26" s="47" t="s">
        <v>310</v>
      </c>
      <c r="R26" s="48" t="s">
        <v>59</v>
      </c>
      <c r="S26" s="58" t="s">
        <v>350</v>
      </c>
      <c r="T26" s="45" t="s">
        <v>60</v>
      </c>
      <c r="U26" s="47" t="s">
        <v>30</v>
      </c>
      <c r="V26" s="47" t="s">
        <v>136</v>
      </c>
      <c r="W26" s="47" t="s">
        <v>103</v>
      </c>
      <c r="X26" s="47" t="s">
        <v>102</v>
      </c>
      <c r="Y26" s="47" t="s">
        <v>30</v>
      </c>
      <c r="Z26" s="214" t="s">
        <v>33</v>
      </c>
      <c r="AA26" s="40" t="s">
        <v>41</v>
      </c>
      <c r="AB26" s="43" t="s">
        <v>42</v>
      </c>
      <c r="AC26" s="41" t="s">
        <v>44</v>
      </c>
      <c r="AD26" s="46" t="s">
        <v>6</v>
      </c>
      <c r="AE26" s="89"/>
      <c r="AF26" s="44" t="s">
        <v>70</v>
      </c>
      <c r="AG26" s="50" t="s">
        <v>160</v>
      </c>
      <c r="AH26" s="131" t="s">
        <v>72</v>
      </c>
      <c r="AI26" s="168" t="s">
        <v>64</v>
      </c>
      <c r="AJ26" s="246" t="s">
        <v>6</v>
      </c>
      <c r="AK26" s="83" t="s">
        <v>60</v>
      </c>
      <c r="AL26" s="164" t="s">
        <v>162</v>
      </c>
      <c r="AM26" s="48" t="s">
        <v>93</v>
      </c>
      <c r="AN26" s="60" t="s">
        <v>95</v>
      </c>
      <c r="AO26" s="60" t="s">
        <v>163</v>
      </c>
      <c r="AP26" s="60" t="s">
        <v>164</v>
      </c>
      <c r="AQ26" s="60" t="s">
        <v>165</v>
      </c>
      <c r="AR26" s="60" t="s">
        <v>95</v>
      </c>
      <c r="AS26" s="60" t="s">
        <v>166</v>
      </c>
      <c r="AT26" s="60" t="s">
        <v>98</v>
      </c>
      <c r="AU26" s="60" t="s">
        <v>93</v>
      </c>
      <c r="AV26" s="60" t="s">
        <v>95</v>
      </c>
      <c r="AW26" s="60" t="s">
        <v>96</v>
      </c>
      <c r="AX26" s="53" t="s">
        <v>131</v>
      </c>
      <c r="AY26" s="354" t="s">
        <v>502</v>
      </c>
      <c r="AZ26" s="55" t="s">
        <v>250</v>
      </c>
      <c r="BA26" s="55" t="s">
        <v>250</v>
      </c>
      <c r="BB26" s="55" t="s">
        <v>250</v>
      </c>
      <c r="BC26" s="55" t="s">
        <v>207</v>
      </c>
      <c r="BD26" s="55" t="s">
        <v>207</v>
      </c>
      <c r="BE26" s="56" t="s">
        <v>127</v>
      </c>
      <c r="BF26" s="57"/>
      <c r="BG26" s="58" t="s">
        <v>122</v>
      </c>
      <c r="BH26" s="58" t="s">
        <v>122</v>
      </c>
      <c r="BI26" s="58"/>
      <c r="BJ26" s="218" t="s">
        <v>131</v>
      </c>
      <c r="BK26" s="182" t="s">
        <v>135</v>
      </c>
      <c r="BL26" s="182" t="s">
        <v>92</v>
      </c>
      <c r="BM26" s="183" t="s">
        <v>133</v>
      </c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32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32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32"/>
      <c r="DV26" s="88" t="s">
        <v>59</v>
      </c>
      <c r="DW26" s="88" t="s">
        <v>33</v>
      </c>
      <c r="DX26" s="32"/>
      <c r="DY26" s="393" t="s">
        <v>160</v>
      </c>
      <c r="DZ26" s="388" t="s">
        <v>64</v>
      </c>
      <c r="EA26" s="85" t="s">
        <v>162</v>
      </c>
      <c r="EB26" s="29" t="s">
        <v>93</v>
      </c>
      <c r="EC26" s="131" t="s">
        <v>95</v>
      </c>
      <c r="ED26" s="131" t="s">
        <v>163</v>
      </c>
      <c r="EE26" s="131" t="s">
        <v>164</v>
      </c>
      <c r="EF26" s="131" t="s">
        <v>165</v>
      </c>
      <c r="EG26" s="131" t="s">
        <v>95</v>
      </c>
      <c r="EH26" s="131" t="s">
        <v>166</v>
      </c>
      <c r="EI26" s="131" t="s">
        <v>98</v>
      </c>
      <c r="EJ26" s="131" t="s">
        <v>93</v>
      </c>
      <c r="EK26" s="131" t="s">
        <v>95</v>
      </c>
      <c r="EL26" s="131" t="s">
        <v>96</v>
      </c>
      <c r="EM26" s="130" t="s">
        <v>131</v>
      </c>
    </row>
    <row r="27" spans="1:144" x14ac:dyDescent="0.25">
      <c r="B27" s="25" t="s">
        <v>49</v>
      </c>
      <c r="C27" s="40" t="s">
        <v>36</v>
      </c>
      <c r="D27" s="41" t="s">
        <v>1</v>
      </c>
      <c r="E27" s="43" t="s">
        <v>36</v>
      </c>
      <c r="F27" s="43" t="s">
        <v>1</v>
      </c>
      <c r="G27" s="43" t="s">
        <v>331</v>
      </c>
      <c r="H27" s="43" t="s">
        <v>332</v>
      </c>
      <c r="I27" s="43" t="s">
        <v>333</v>
      </c>
      <c r="J27" s="45" t="s">
        <v>53</v>
      </c>
      <c r="K27" s="45" t="s">
        <v>53</v>
      </c>
      <c r="L27" s="44" t="s">
        <v>55</v>
      </c>
      <c r="M27" s="44" t="s">
        <v>56</v>
      </c>
      <c r="N27" s="45" t="s">
        <v>55</v>
      </c>
      <c r="O27" s="45" t="s">
        <v>56</v>
      </c>
      <c r="P27" s="46" t="s">
        <v>17</v>
      </c>
      <c r="Q27" s="47" t="s">
        <v>34</v>
      </c>
      <c r="R27" s="48" t="s">
        <v>13</v>
      </c>
      <c r="S27" s="58" t="s">
        <v>13</v>
      </c>
      <c r="T27" s="45" t="s">
        <v>61</v>
      </c>
      <c r="U27" s="47" t="s">
        <v>34</v>
      </c>
      <c r="V27" s="47" t="s">
        <v>34</v>
      </c>
      <c r="W27" s="47" t="s">
        <v>34</v>
      </c>
      <c r="X27" s="47" t="s">
        <v>34</v>
      </c>
      <c r="Y27" s="47" t="s">
        <v>0</v>
      </c>
      <c r="Z27" s="214" t="s">
        <v>0</v>
      </c>
      <c r="AA27" s="40" t="s">
        <v>42</v>
      </c>
      <c r="AB27" s="43" t="s">
        <v>43</v>
      </c>
      <c r="AC27" s="41" t="s">
        <v>42</v>
      </c>
      <c r="AD27" s="46" t="s">
        <v>34</v>
      </c>
      <c r="AE27" s="211" t="s">
        <v>12</v>
      </c>
      <c r="AF27" s="44" t="s">
        <v>68</v>
      </c>
      <c r="AG27" s="50" t="s">
        <v>36</v>
      </c>
      <c r="AH27" s="44" t="s">
        <v>73</v>
      </c>
      <c r="AI27" s="169" t="s">
        <v>71</v>
      </c>
      <c r="AJ27" s="246" t="s">
        <v>34</v>
      </c>
      <c r="AK27" s="83" t="s">
        <v>159</v>
      </c>
      <c r="AL27" s="61" t="s">
        <v>167</v>
      </c>
      <c r="AM27" s="60" t="s">
        <v>90</v>
      </c>
      <c r="AN27" s="60" t="s">
        <v>90</v>
      </c>
      <c r="AO27" s="60" t="s">
        <v>92</v>
      </c>
      <c r="AP27" s="60" t="s">
        <v>168</v>
      </c>
      <c r="AQ27" s="60" t="s">
        <v>97</v>
      </c>
      <c r="AR27" s="60" t="s">
        <v>97</v>
      </c>
      <c r="AS27" s="60" t="s">
        <v>97</v>
      </c>
      <c r="AT27" s="60" t="s">
        <v>97</v>
      </c>
      <c r="AU27" s="60" t="s">
        <v>94</v>
      </c>
      <c r="AV27" s="60" t="s">
        <v>94</v>
      </c>
      <c r="AW27" s="60" t="s">
        <v>94</v>
      </c>
      <c r="AX27" s="60" t="s">
        <v>60</v>
      </c>
      <c r="AY27" s="354" t="s">
        <v>503</v>
      </c>
      <c r="AZ27" s="55" t="s">
        <v>34</v>
      </c>
      <c r="BA27" s="55" t="s">
        <v>357</v>
      </c>
      <c r="BB27" s="55" t="s">
        <v>358</v>
      </c>
      <c r="BC27" s="55" t="s">
        <v>116</v>
      </c>
      <c r="BD27" s="55" t="s">
        <v>125</v>
      </c>
      <c r="BE27" s="59" t="s">
        <v>118</v>
      </c>
      <c r="BF27" s="57" t="s">
        <v>119</v>
      </c>
      <c r="BG27" s="58" t="s">
        <v>50</v>
      </c>
      <c r="BH27" s="58" t="s">
        <v>121</v>
      </c>
      <c r="BI27" s="58" t="s">
        <v>123</v>
      </c>
      <c r="BJ27" s="132" t="s">
        <v>60</v>
      </c>
      <c r="BK27" s="58" t="s">
        <v>68</v>
      </c>
      <c r="BL27" s="58" t="s">
        <v>132</v>
      </c>
      <c r="BM27" s="59" t="s">
        <v>134</v>
      </c>
      <c r="BN27" s="55" t="s">
        <v>118</v>
      </c>
      <c r="BO27" s="55" t="s">
        <v>118</v>
      </c>
      <c r="BP27" s="55" t="s">
        <v>118</v>
      </c>
      <c r="BQ27" s="55" t="s">
        <v>118</v>
      </c>
      <c r="BR27" s="55" t="s">
        <v>118</v>
      </c>
      <c r="BS27" s="55" t="s">
        <v>118</v>
      </c>
      <c r="BT27" s="55" t="s">
        <v>118</v>
      </c>
      <c r="BU27" s="55" t="s">
        <v>118</v>
      </c>
      <c r="BV27" s="55" t="s">
        <v>118</v>
      </c>
      <c r="BW27" s="55" t="s">
        <v>118</v>
      </c>
      <c r="BX27" s="55" t="s">
        <v>118</v>
      </c>
      <c r="BY27" s="55" t="s">
        <v>118</v>
      </c>
      <c r="BZ27" s="55" t="s">
        <v>118</v>
      </c>
      <c r="CA27" s="55" t="s">
        <v>118</v>
      </c>
      <c r="CB27" s="55" t="s">
        <v>118</v>
      </c>
      <c r="CC27" s="55" t="s">
        <v>118</v>
      </c>
      <c r="CD27" s="55" t="s">
        <v>118</v>
      </c>
      <c r="CE27" s="55" t="s">
        <v>118</v>
      </c>
      <c r="CF27" s="55" t="s">
        <v>118</v>
      </c>
      <c r="CG27" s="56" t="s">
        <v>118</v>
      </c>
      <c r="CH27" s="55" t="s">
        <v>118</v>
      </c>
      <c r="CI27" s="55" t="s">
        <v>118</v>
      </c>
      <c r="CJ27" s="55" t="s">
        <v>118</v>
      </c>
      <c r="CK27" s="55" t="s">
        <v>118</v>
      </c>
      <c r="CL27" s="55" t="s">
        <v>118</v>
      </c>
      <c r="CM27" s="55" t="s">
        <v>118</v>
      </c>
      <c r="CN27" s="55" t="s">
        <v>118</v>
      </c>
      <c r="CO27" s="55" t="s">
        <v>118</v>
      </c>
      <c r="CP27" s="55" t="s">
        <v>118</v>
      </c>
      <c r="CQ27" s="55" t="s">
        <v>118</v>
      </c>
      <c r="CR27" s="55" t="s">
        <v>118</v>
      </c>
      <c r="CS27" s="55" t="s">
        <v>118</v>
      </c>
      <c r="CT27" s="55" t="s">
        <v>118</v>
      </c>
      <c r="CU27" s="55" t="s">
        <v>118</v>
      </c>
      <c r="CV27" s="55" t="s">
        <v>118</v>
      </c>
      <c r="CW27" s="55" t="s">
        <v>118</v>
      </c>
      <c r="CX27" s="55" t="s">
        <v>118</v>
      </c>
      <c r="CY27" s="55" t="s">
        <v>118</v>
      </c>
      <c r="CZ27" s="55" t="s">
        <v>118</v>
      </c>
      <c r="DA27" s="56" t="s">
        <v>118</v>
      </c>
      <c r="DB27" s="55" t="s">
        <v>118</v>
      </c>
      <c r="DC27" s="55" t="s">
        <v>118</v>
      </c>
      <c r="DD27" s="55" t="s">
        <v>118</v>
      </c>
      <c r="DE27" s="55" t="s">
        <v>118</v>
      </c>
      <c r="DF27" s="55" t="s">
        <v>118</v>
      </c>
      <c r="DG27" s="55" t="s">
        <v>118</v>
      </c>
      <c r="DH27" s="55" t="s">
        <v>118</v>
      </c>
      <c r="DI27" s="55" t="s">
        <v>118</v>
      </c>
      <c r="DJ27" s="55" t="s">
        <v>118</v>
      </c>
      <c r="DK27" s="55" t="s">
        <v>118</v>
      </c>
      <c r="DL27" s="55" t="s">
        <v>118</v>
      </c>
      <c r="DM27" s="55" t="s">
        <v>118</v>
      </c>
      <c r="DN27" s="55" t="s">
        <v>118</v>
      </c>
      <c r="DO27" s="55" t="s">
        <v>118</v>
      </c>
      <c r="DP27" s="55" t="s">
        <v>118</v>
      </c>
      <c r="DQ27" s="55" t="s">
        <v>118</v>
      </c>
      <c r="DR27" s="55" t="s">
        <v>118</v>
      </c>
      <c r="DS27" s="55" t="s">
        <v>118</v>
      </c>
      <c r="DT27" s="55" t="s">
        <v>118</v>
      </c>
      <c r="DU27" s="56" t="s">
        <v>118</v>
      </c>
      <c r="DV27" s="89" t="s">
        <v>13</v>
      </c>
      <c r="DW27" s="89" t="s">
        <v>0</v>
      </c>
      <c r="DX27" s="49" t="s">
        <v>12</v>
      </c>
      <c r="DY27" s="389" t="s">
        <v>36</v>
      </c>
      <c r="DZ27" s="390" t="s">
        <v>71</v>
      </c>
      <c r="EA27" s="132" t="s">
        <v>167</v>
      </c>
      <c r="EB27" s="44" t="s">
        <v>90</v>
      </c>
      <c r="EC27" s="44" t="s">
        <v>90</v>
      </c>
      <c r="ED27" s="44" t="s">
        <v>92</v>
      </c>
      <c r="EE27" s="44" t="s">
        <v>168</v>
      </c>
      <c r="EF27" s="44" t="s">
        <v>97</v>
      </c>
      <c r="EG27" s="44" t="s">
        <v>97</v>
      </c>
      <c r="EH27" s="44" t="s">
        <v>97</v>
      </c>
      <c r="EI27" s="44" t="s">
        <v>97</v>
      </c>
      <c r="EJ27" s="44" t="s">
        <v>94</v>
      </c>
      <c r="EK27" s="44" t="s">
        <v>94</v>
      </c>
      <c r="EL27" s="44" t="s">
        <v>94</v>
      </c>
      <c r="EM27" s="129" t="s">
        <v>60</v>
      </c>
    </row>
    <row r="28" spans="1:144" x14ac:dyDescent="0.25">
      <c r="B28" s="62" t="s">
        <v>58</v>
      </c>
      <c r="C28" s="63" t="s">
        <v>58</v>
      </c>
      <c r="D28" s="64" t="s">
        <v>58</v>
      </c>
      <c r="E28" s="65" t="s">
        <v>38</v>
      </c>
      <c r="F28" s="66" t="s">
        <v>58</v>
      </c>
      <c r="G28" s="66" t="s">
        <v>58</v>
      </c>
      <c r="H28" s="66" t="s">
        <v>58</v>
      </c>
      <c r="I28" s="66" t="s">
        <v>58</v>
      </c>
      <c r="J28" s="67" t="s">
        <v>39</v>
      </c>
      <c r="K28" s="67" t="s">
        <v>39</v>
      </c>
      <c r="L28" s="67" t="s">
        <v>38</v>
      </c>
      <c r="M28" s="67" t="s">
        <v>38</v>
      </c>
      <c r="N28" s="67" t="s">
        <v>38</v>
      </c>
      <c r="O28" s="67" t="s">
        <v>38</v>
      </c>
      <c r="P28" s="68" t="s">
        <v>39</v>
      </c>
      <c r="Q28" s="69" t="s">
        <v>343</v>
      </c>
      <c r="R28" s="70" t="s">
        <v>35</v>
      </c>
      <c r="S28" s="81" t="s">
        <v>35</v>
      </c>
      <c r="T28" s="67" t="s">
        <v>62</v>
      </c>
      <c r="U28" s="69" t="s">
        <v>344</v>
      </c>
      <c r="V28" s="69" t="s">
        <v>63</v>
      </c>
      <c r="W28" s="69" t="s">
        <v>65</v>
      </c>
      <c r="X28" s="69" t="s">
        <v>65</v>
      </c>
      <c r="Y28" s="69" t="s">
        <v>353</v>
      </c>
      <c r="Z28" s="215" t="s">
        <v>343</v>
      </c>
      <c r="AA28" s="72" t="s">
        <v>40</v>
      </c>
      <c r="AB28" s="65" t="s">
        <v>40</v>
      </c>
      <c r="AC28" s="73" t="s">
        <v>40</v>
      </c>
      <c r="AD28" s="74" t="s">
        <v>65</v>
      </c>
      <c r="AE28" s="212" t="s">
        <v>66</v>
      </c>
      <c r="AF28" s="75" t="s">
        <v>67</v>
      </c>
      <c r="AG28" s="76" t="s">
        <v>38</v>
      </c>
      <c r="AH28" s="75" t="s">
        <v>69</v>
      </c>
      <c r="AI28" s="170" t="s">
        <v>153</v>
      </c>
      <c r="AJ28" s="247" t="s">
        <v>851</v>
      </c>
      <c r="AK28" s="71" t="s">
        <v>115</v>
      </c>
      <c r="AL28" s="77" t="s">
        <v>101</v>
      </c>
      <c r="AM28" s="70" t="s">
        <v>101</v>
      </c>
      <c r="AN28" s="70" t="s">
        <v>101</v>
      </c>
      <c r="AO28" s="70" t="s">
        <v>101</v>
      </c>
      <c r="AP28" s="70" t="s">
        <v>101</v>
      </c>
      <c r="AQ28" s="70" t="s">
        <v>101</v>
      </c>
      <c r="AR28" s="70" t="s">
        <v>101</v>
      </c>
      <c r="AS28" s="70" t="s">
        <v>101</v>
      </c>
      <c r="AT28" s="70" t="s">
        <v>101</v>
      </c>
      <c r="AU28" s="70" t="s">
        <v>101</v>
      </c>
      <c r="AV28" s="70" t="s">
        <v>101</v>
      </c>
      <c r="AW28" s="70" t="s">
        <v>101</v>
      </c>
      <c r="AX28" s="70" t="s">
        <v>101</v>
      </c>
      <c r="AY28" s="355" t="s">
        <v>65</v>
      </c>
      <c r="AZ28" s="79" t="s">
        <v>58</v>
      </c>
      <c r="BA28" s="79" t="s">
        <v>58</v>
      </c>
      <c r="BB28" s="79" t="s">
        <v>58</v>
      </c>
      <c r="BC28" s="79" t="s">
        <v>251</v>
      </c>
      <c r="BD28" s="79" t="s">
        <v>117</v>
      </c>
      <c r="BE28" s="80" t="s">
        <v>38</v>
      </c>
      <c r="BF28" s="78" t="s">
        <v>251</v>
      </c>
      <c r="BG28" s="81" t="s">
        <v>120</v>
      </c>
      <c r="BH28" s="81" t="s">
        <v>38</v>
      </c>
      <c r="BI28" s="81" t="s">
        <v>67</v>
      </c>
      <c r="BJ28" s="87" t="s">
        <v>101</v>
      </c>
      <c r="BK28" s="81" t="s">
        <v>67</v>
      </c>
      <c r="BL28" s="81" t="s">
        <v>252</v>
      </c>
      <c r="BM28" s="80" t="s">
        <v>253</v>
      </c>
      <c r="BN28" s="67">
        <v>1</v>
      </c>
      <c r="BO28" s="67">
        <v>2</v>
      </c>
      <c r="BP28" s="67">
        <v>3</v>
      </c>
      <c r="BQ28" s="67">
        <v>4</v>
      </c>
      <c r="BR28" s="67">
        <v>5</v>
      </c>
      <c r="BS28" s="67">
        <v>6</v>
      </c>
      <c r="BT28" s="67">
        <v>7</v>
      </c>
      <c r="BU28" s="67">
        <v>8</v>
      </c>
      <c r="BV28" s="67">
        <v>9</v>
      </c>
      <c r="BW28" s="67">
        <v>10</v>
      </c>
      <c r="BX28" s="67">
        <v>11</v>
      </c>
      <c r="BY28" s="67">
        <v>12</v>
      </c>
      <c r="BZ28" s="67">
        <v>13</v>
      </c>
      <c r="CA28" s="67">
        <v>14</v>
      </c>
      <c r="CB28" s="67">
        <v>15</v>
      </c>
      <c r="CC28" s="67">
        <v>16</v>
      </c>
      <c r="CD28" s="67">
        <v>17</v>
      </c>
      <c r="CE28" s="67">
        <v>18</v>
      </c>
      <c r="CF28" s="67">
        <v>19</v>
      </c>
      <c r="CG28" s="82">
        <v>20</v>
      </c>
      <c r="CH28" s="67">
        <v>1</v>
      </c>
      <c r="CI28" s="67">
        <v>2</v>
      </c>
      <c r="CJ28" s="67">
        <v>3</v>
      </c>
      <c r="CK28" s="67">
        <v>4</v>
      </c>
      <c r="CL28" s="67">
        <v>5</v>
      </c>
      <c r="CM28" s="67">
        <v>6</v>
      </c>
      <c r="CN28" s="67">
        <v>7</v>
      </c>
      <c r="CO28" s="67">
        <v>8</v>
      </c>
      <c r="CP28" s="67">
        <v>9</v>
      </c>
      <c r="CQ28" s="67">
        <v>10</v>
      </c>
      <c r="CR28" s="67">
        <v>11</v>
      </c>
      <c r="CS28" s="67">
        <v>12</v>
      </c>
      <c r="CT28" s="67">
        <v>13</v>
      </c>
      <c r="CU28" s="67">
        <v>14</v>
      </c>
      <c r="CV28" s="67">
        <v>15</v>
      </c>
      <c r="CW28" s="67">
        <v>16</v>
      </c>
      <c r="CX28" s="67">
        <v>17</v>
      </c>
      <c r="CY28" s="67">
        <v>18</v>
      </c>
      <c r="CZ28" s="67">
        <v>19</v>
      </c>
      <c r="DA28" s="82">
        <v>20</v>
      </c>
      <c r="DB28" s="67">
        <v>1</v>
      </c>
      <c r="DC28" s="67">
        <v>2</v>
      </c>
      <c r="DD28" s="67">
        <v>3</v>
      </c>
      <c r="DE28" s="67">
        <v>4</v>
      </c>
      <c r="DF28" s="67">
        <v>5</v>
      </c>
      <c r="DG28" s="67">
        <v>6</v>
      </c>
      <c r="DH28" s="67">
        <v>7</v>
      </c>
      <c r="DI28" s="67">
        <v>8</v>
      </c>
      <c r="DJ28" s="67">
        <v>9</v>
      </c>
      <c r="DK28" s="67">
        <v>10</v>
      </c>
      <c r="DL28" s="67">
        <v>11</v>
      </c>
      <c r="DM28" s="67">
        <v>12</v>
      </c>
      <c r="DN28" s="67">
        <v>13</v>
      </c>
      <c r="DO28" s="67">
        <v>14</v>
      </c>
      <c r="DP28" s="67">
        <v>15</v>
      </c>
      <c r="DQ28" s="67">
        <v>16</v>
      </c>
      <c r="DR28" s="67">
        <v>17</v>
      </c>
      <c r="DS28" s="67">
        <v>18</v>
      </c>
      <c r="DT28" s="67">
        <v>19</v>
      </c>
      <c r="DU28" s="82">
        <v>20</v>
      </c>
      <c r="DV28" s="90" t="s">
        <v>35</v>
      </c>
      <c r="DW28" s="90" t="s">
        <v>65</v>
      </c>
      <c r="DX28" s="82" t="s">
        <v>66</v>
      </c>
      <c r="DY28" s="391" t="s">
        <v>38</v>
      </c>
      <c r="DZ28" s="392" t="s">
        <v>38</v>
      </c>
      <c r="EA28" s="87" t="s">
        <v>101</v>
      </c>
      <c r="EB28" s="67" t="s">
        <v>101</v>
      </c>
      <c r="EC28" s="67" t="s">
        <v>101</v>
      </c>
      <c r="ED28" s="67" t="s">
        <v>101</v>
      </c>
      <c r="EE28" s="67" t="s">
        <v>101</v>
      </c>
      <c r="EF28" s="67" t="s">
        <v>101</v>
      </c>
      <c r="EG28" s="67" t="s">
        <v>101</v>
      </c>
      <c r="EH28" s="67" t="s">
        <v>101</v>
      </c>
      <c r="EI28" s="67" t="s">
        <v>101</v>
      </c>
      <c r="EJ28" s="67" t="s">
        <v>101</v>
      </c>
      <c r="EK28" s="67" t="s">
        <v>101</v>
      </c>
      <c r="EL28" s="67" t="s">
        <v>101</v>
      </c>
      <c r="EM28" s="82" t="s">
        <v>101</v>
      </c>
    </row>
    <row r="29" spans="1:144" x14ac:dyDescent="0.25">
      <c r="A29" s="422">
        <v>1</v>
      </c>
      <c r="B29" s="423">
        <f>A29+1</f>
        <v>2</v>
      </c>
      <c r="C29" s="423">
        <f t="shared" ref="C29:AP29" si="0">B29+1</f>
        <v>3</v>
      </c>
      <c r="D29" s="423">
        <f t="shared" si="0"/>
        <v>4</v>
      </c>
      <c r="E29" s="423">
        <f t="shared" si="0"/>
        <v>5</v>
      </c>
      <c r="F29" s="423">
        <f t="shared" si="0"/>
        <v>6</v>
      </c>
      <c r="G29" s="423">
        <f t="shared" si="0"/>
        <v>7</v>
      </c>
      <c r="H29" s="423">
        <f t="shared" si="0"/>
        <v>8</v>
      </c>
      <c r="I29" s="423">
        <f t="shared" si="0"/>
        <v>9</v>
      </c>
      <c r="J29" s="423">
        <f t="shared" si="0"/>
        <v>10</v>
      </c>
      <c r="K29" s="423">
        <f t="shared" si="0"/>
        <v>11</v>
      </c>
      <c r="L29" s="423">
        <f t="shared" si="0"/>
        <v>12</v>
      </c>
      <c r="M29" s="423">
        <f t="shared" si="0"/>
        <v>13</v>
      </c>
      <c r="N29" s="423">
        <f t="shared" si="0"/>
        <v>14</v>
      </c>
      <c r="O29" s="423">
        <f t="shared" si="0"/>
        <v>15</v>
      </c>
      <c r="P29" s="423">
        <f t="shared" si="0"/>
        <v>16</v>
      </c>
      <c r="Q29" s="426">
        <f t="shared" si="0"/>
        <v>17</v>
      </c>
      <c r="R29" s="423">
        <f t="shared" si="0"/>
        <v>18</v>
      </c>
      <c r="S29" s="423">
        <f t="shared" si="0"/>
        <v>19</v>
      </c>
      <c r="T29" s="423">
        <f t="shared" si="0"/>
        <v>20</v>
      </c>
      <c r="U29" s="423">
        <f t="shared" si="0"/>
        <v>21</v>
      </c>
      <c r="V29" s="423">
        <f t="shared" si="0"/>
        <v>22</v>
      </c>
      <c r="W29" s="423">
        <f t="shared" si="0"/>
        <v>23</v>
      </c>
      <c r="X29" s="423">
        <f t="shared" si="0"/>
        <v>24</v>
      </c>
      <c r="Y29" s="423">
        <f t="shared" si="0"/>
        <v>25</v>
      </c>
      <c r="Z29" s="423">
        <f t="shared" si="0"/>
        <v>26</v>
      </c>
      <c r="AA29" s="423">
        <f t="shared" si="0"/>
        <v>27</v>
      </c>
      <c r="AB29" s="423">
        <f t="shared" si="0"/>
        <v>28</v>
      </c>
      <c r="AC29" s="423">
        <f t="shared" si="0"/>
        <v>29</v>
      </c>
      <c r="AD29" s="423">
        <f t="shared" si="0"/>
        <v>30</v>
      </c>
      <c r="AE29" s="423">
        <f t="shared" si="0"/>
        <v>31</v>
      </c>
      <c r="AF29" s="423">
        <f t="shared" si="0"/>
        <v>32</v>
      </c>
      <c r="AG29" s="423">
        <f t="shared" si="0"/>
        <v>33</v>
      </c>
      <c r="AH29" s="423">
        <f t="shared" si="0"/>
        <v>34</v>
      </c>
      <c r="AI29" s="423">
        <f t="shared" si="0"/>
        <v>35</v>
      </c>
      <c r="AJ29" s="423">
        <f t="shared" si="0"/>
        <v>36</v>
      </c>
      <c r="AK29" s="423">
        <f t="shared" si="0"/>
        <v>37</v>
      </c>
      <c r="AL29" s="423">
        <f t="shared" si="0"/>
        <v>38</v>
      </c>
      <c r="AM29" s="423">
        <f t="shared" si="0"/>
        <v>39</v>
      </c>
      <c r="AN29" s="423">
        <f t="shared" si="0"/>
        <v>40</v>
      </c>
      <c r="AO29" s="423">
        <f t="shared" si="0"/>
        <v>41</v>
      </c>
      <c r="AP29" s="423">
        <f t="shared" si="0"/>
        <v>42</v>
      </c>
      <c r="AQ29" s="425"/>
      <c r="AR29" s="425"/>
      <c r="AS29" s="425"/>
      <c r="AT29" s="425"/>
      <c r="AU29" s="425"/>
      <c r="AV29" s="425"/>
      <c r="AW29" s="425"/>
      <c r="AX29" s="425"/>
      <c r="AY29" s="424"/>
      <c r="AZ29" s="427"/>
      <c r="BA29" s="427"/>
      <c r="BB29" s="427"/>
      <c r="BC29" s="427"/>
      <c r="BD29" s="427"/>
      <c r="BE29" s="426"/>
      <c r="BF29" s="55"/>
      <c r="BG29" s="58"/>
      <c r="BH29" s="58"/>
      <c r="BI29" s="58"/>
      <c r="BJ29" s="57"/>
      <c r="BK29" s="58"/>
      <c r="BL29" s="58"/>
      <c r="BM29" s="58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  <c r="CW29" s="45"/>
      <c r="CX29" s="45"/>
      <c r="CY29" s="45"/>
      <c r="CZ29" s="45"/>
      <c r="DA29" s="45"/>
      <c r="DB29" s="45"/>
      <c r="DC29" s="45"/>
      <c r="DD29" s="45"/>
      <c r="DE29" s="45"/>
      <c r="DF29" s="45"/>
      <c r="DG29" s="45"/>
      <c r="DH29" s="45"/>
      <c r="DI29" s="45"/>
      <c r="DJ29" s="45"/>
      <c r="DK29" s="45"/>
      <c r="DL29" s="45"/>
      <c r="DM29" s="45"/>
      <c r="DN29" s="45"/>
      <c r="DO29" s="45"/>
      <c r="DP29" s="45"/>
      <c r="DQ29" s="45"/>
      <c r="DR29" s="45"/>
      <c r="DS29" s="45"/>
      <c r="DT29" s="45"/>
      <c r="DU29" s="45"/>
      <c r="DV29" s="45"/>
      <c r="DW29" s="58"/>
      <c r="DX29" s="58"/>
      <c r="EL29" s="28"/>
      <c r="EM29" s="28"/>
    </row>
    <row r="30" spans="1:144" x14ac:dyDescent="0.25">
      <c r="B30" s="12" t="s">
        <v>54</v>
      </c>
      <c r="C30" s="26" t="s">
        <v>47</v>
      </c>
      <c r="D30" s="27" t="s">
        <v>46</v>
      </c>
      <c r="E30" s="28" t="s">
        <v>299</v>
      </c>
      <c r="F30" s="28" t="s">
        <v>298</v>
      </c>
      <c r="G30" s="28" t="s">
        <v>331</v>
      </c>
      <c r="H30" s="28" t="s">
        <v>332</v>
      </c>
      <c r="I30" s="28" t="s">
        <v>333</v>
      </c>
      <c r="J30" s="28" t="s">
        <v>76</v>
      </c>
      <c r="K30" s="28" t="s">
        <v>77</v>
      </c>
      <c r="L30" s="28" t="s">
        <v>20</v>
      </c>
      <c r="M30" s="28" t="s">
        <v>21</v>
      </c>
      <c r="N30" s="28" t="s">
        <v>22</v>
      </c>
      <c r="O30" s="28" t="s">
        <v>23</v>
      </c>
      <c r="P30" s="35" t="s">
        <v>17</v>
      </c>
      <c r="Q30" s="31" t="s">
        <v>37</v>
      </c>
      <c r="R30" s="53" t="s">
        <v>13</v>
      </c>
      <c r="S30" s="213" t="s">
        <v>350</v>
      </c>
      <c r="T30" s="28" t="s">
        <v>14</v>
      </c>
      <c r="U30" s="167" t="s">
        <v>244</v>
      </c>
      <c r="V30" s="197" t="s">
        <v>136</v>
      </c>
      <c r="W30" s="197" t="s">
        <v>103</v>
      </c>
      <c r="X30" s="197" t="s">
        <v>102</v>
      </c>
      <c r="Y30" s="197" t="s">
        <v>354</v>
      </c>
      <c r="Z30" s="217" t="s">
        <v>78</v>
      </c>
      <c r="AA30" s="26" t="s">
        <v>18</v>
      </c>
      <c r="AB30" s="28" t="s">
        <v>19</v>
      </c>
      <c r="AC30" s="27" t="s">
        <v>45</v>
      </c>
      <c r="AD30" s="35" t="s">
        <v>79</v>
      </c>
      <c r="AE30" s="198" t="s">
        <v>12</v>
      </c>
      <c r="AF30" s="28" t="s">
        <v>27</v>
      </c>
      <c r="AG30" s="53" t="s">
        <v>283</v>
      </c>
      <c r="AH30" s="131" t="s">
        <v>80</v>
      </c>
      <c r="AI30" s="51" t="s">
        <v>28</v>
      </c>
      <c r="AJ30" s="12" t="s">
        <v>500</v>
      </c>
      <c r="AK30" s="35" t="s">
        <v>286</v>
      </c>
      <c r="AL30" s="199" t="s">
        <v>82</v>
      </c>
      <c r="AM30" s="198" t="s">
        <v>260</v>
      </c>
      <c r="AN30" s="198" t="s">
        <v>261</v>
      </c>
      <c r="AO30" s="198" t="s">
        <v>262</v>
      </c>
      <c r="AP30" s="198" t="s">
        <v>263</v>
      </c>
      <c r="AQ30" s="198" t="s">
        <v>86</v>
      </c>
      <c r="AR30" s="198" t="s">
        <v>87</v>
      </c>
      <c r="AS30" s="198" t="s">
        <v>88</v>
      </c>
      <c r="AT30" s="198" t="s">
        <v>89</v>
      </c>
      <c r="AU30" s="198" t="s">
        <v>83</v>
      </c>
      <c r="AV30" s="198" t="s">
        <v>84</v>
      </c>
      <c r="AW30" s="198" t="s">
        <v>85</v>
      </c>
      <c r="AX30" s="200" t="s">
        <v>264</v>
      </c>
      <c r="AY30" s="167" t="s">
        <v>504</v>
      </c>
      <c r="AZ30" s="84" t="s">
        <v>300</v>
      </c>
      <c r="BA30" s="206" t="s">
        <v>301</v>
      </c>
      <c r="BB30" s="206" t="s">
        <v>359</v>
      </c>
      <c r="BC30" s="206" t="s">
        <v>302</v>
      </c>
      <c r="BD30" s="206" t="s">
        <v>304</v>
      </c>
      <c r="BE30" s="207" t="s">
        <v>303</v>
      </c>
      <c r="BF30" s="84" t="s">
        <v>119</v>
      </c>
      <c r="BG30" s="206" t="s">
        <v>305</v>
      </c>
      <c r="BH30" s="206" t="s">
        <v>306</v>
      </c>
      <c r="BI30" s="206" t="s">
        <v>123</v>
      </c>
      <c r="BJ30" s="84" t="s">
        <v>360</v>
      </c>
      <c r="BK30" s="206" t="s">
        <v>361</v>
      </c>
      <c r="BL30" s="206" t="s">
        <v>362</v>
      </c>
      <c r="BM30" s="206" t="s">
        <v>363</v>
      </c>
      <c r="BN30" s="208" t="s">
        <v>386</v>
      </c>
      <c r="BO30" s="148" t="s">
        <v>387</v>
      </c>
      <c r="BP30" s="219" t="s">
        <v>388</v>
      </c>
      <c r="BQ30" s="148" t="s">
        <v>389</v>
      </c>
      <c r="BR30" s="219" t="s">
        <v>390</v>
      </c>
      <c r="BS30" s="148" t="s">
        <v>391</v>
      </c>
      <c r="BT30" s="219" t="s">
        <v>392</v>
      </c>
      <c r="BU30" s="148" t="s">
        <v>393</v>
      </c>
      <c r="BV30" s="219" t="s">
        <v>394</v>
      </c>
      <c r="BW30" s="148" t="s">
        <v>395</v>
      </c>
      <c r="BX30" s="219" t="s">
        <v>396</v>
      </c>
      <c r="BY30" s="148" t="s">
        <v>397</v>
      </c>
      <c r="BZ30" s="219" t="s">
        <v>398</v>
      </c>
      <c r="CA30" s="148" t="s">
        <v>399</v>
      </c>
      <c r="CB30" s="219" t="s">
        <v>400</v>
      </c>
      <c r="CC30" s="148" t="s">
        <v>401</v>
      </c>
      <c r="CD30" s="219" t="s">
        <v>402</v>
      </c>
      <c r="CE30" s="148" t="s">
        <v>403</v>
      </c>
      <c r="CF30" s="219" t="s">
        <v>404</v>
      </c>
      <c r="CG30" s="149" t="s">
        <v>405</v>
      </c>
      <c r="CH30" s="208" t="s">
        <v>364</v>
      </c>
      <c r="CI30" s="148" t="s">
        <v>365</v>
      </c>
      <c r="CJ30" s="219" t="s">
        <v>366</v>
      </c>
      <c r="CK30" s="148" t="s">
        <v>367</v>
      </c>
      <c r="CL30" s="219" t="s">
        <v>368</v>
      </c>
      <c r="CM30" s="148" t="s">
        <v>369</v>
      </c>
      <c r="CN30" s="219" t="s">
        <v>370</v>
      </c>
      <c r="CO30" s="148" t="s">
        <v>371</v>
      </c>
      <c r="CP30" s="219" t="s">
        <v>372</v>
      </c>
      <c r="CQ30" s="148" t="s">
        <v>373</v>
      </c>
      <c r="CR30" s="219" t="s">
        <v>374</v>
      </c>
      <c r="CS30" s="148" t="s">
        <v>375</v>
      </c>
      <c r="CT30" s="219" t="s">
        <v>376</v>
      </c>
      <c r="CU30" s="148" t="s">
        <v>377</v>
      </c>
      <c r="CV30" s="219" t="s">
        <v>378</v>
      </c>
      <c r="CW30" s="148" t="s">
        <v>379</v>
      </c>
      <c r="CX30" s="219" t="s">
        <v>380</v>
      </c>
      <c r="CY30" s="148" t="s">
        <v>381</v>
      </c>
      <c r="CZ30" s="219" t="s">
        <v>382</v>
      </c>
      <c r="DA30" s="149" t="s">
        <v>383</v>
      </c>
      <c r="DB30" s="208" t="s">
        <v>407</v>
      </c>
      <c r="DC30" s="148" t="s">
        <v>408</v>
      </c>
      <c r="DD30" s="219" t="s">
        <v>409</v>
      </c>
      <c r="DE30" s="148" t="s">
        <v>410</v>
      </c>
      <c r="DF30" s="219" t="s">
        <v>411</v>
      </c>
      <c r="DG30" s="148" t="s">
        <v>412</v>
      </c>
      <c r="DH30" s="219" t="s">
        <v>413</v>
      </c>
      <c r="DI30" s="148" t="s">
        <v>414</v>
      </c>
      <c r="DJ30" s="219" t="s">
        <v>415</v>
      </c>
      <c r="DK30" s="148" t="s">
        <v>416</v>
      </c>
      <c r="DL30" s="219" t="s">
        <v>417</v>
      </c>
      <c r="DM30" s="148" t="s">
        <v>418</v>
      </c>
      <c r="DN30" s="219" t="s">
        <v>419</v>
      </c>
      <c r="DO30" s="148" t="s">
        <v>420</v>
      </c>
      <c r="DP30" s="219" t="s">
        <v>421</v>
      </c>
      <c r="DQ30" s="148" t="s">
        <v>422</v>
      </c>
      <c r="DR30" s="219" t="s">
        <v>423</v>
      </c>
      <c r="DS30" s="148" t="s">
        <v>424</v>
      </c>
      <c r="DT30" s="219" t="s">
        <v>425</v>
      </c>
      <c r="DU30" s="149" t="s">
        <v>426</v>
      </c>
      <c r="DV30" s="213" t="s">
        <v>427</v>
      </c>
      <c r="DW30" s="213" t="s">
        <v>428</v>
      </c>
      <c r="DX30" s="220" t="s">
        <v>429</v>
      </c>
      <c r="DY30" s="213" t="s">
        <v>430</v>
      </c>
      <c r="DZ30" s="221" t="s">
        <v>431</v>
      </c>
      <c r="EA30" s="12" t="s">
        <v>432</v>
      </c>
      <c r="EB30" s="220" t="s">
        <v>433</v>
      </c>
      <c r="EC30" s="220" t="s">
        <v>434</v>
      </c>
      <c r="ED30" s="220" t="s">
        <v>435</v>
      </c>
      <c r="EE30" s="220" t="s">
        <v>436</v>
      </c>
      <c r="EF30" s="220" t="s">
        <v>437</v>
      </c>
      <c r="EG30" s="220" t="s">
        <v>438</v>
      </c>
      <c r="EH30" s="220" t="s">
        <v>439</v>
      </c>
      <c r="EI30" s="220" t="s">
        <v>440</v>
      </c>
      <c r="EJ30" s="220" t="s">
        <v>441</v>
      </c>
      <c r="EK30" s="220" t="s">
        <v>442</v>
      </c>
      <c r="EL30" s="220" t="s">
        <v>443</v>
      </c>
      <c r="EM30" s="222" t="s">
        <v>444</v>
      </c>
      <c r="EN30" s="1" t="s">
        <v>384</v>
      </c>
    </row>
    <row r="31" spans="1:144" x14ac:dyDescent="0.25">
      <c r="B31" s="201" t="s">
        <v>325</v>
      </c>
      <c r="C31" s="26"/>
      <c r="D31" s="27" t="s">
        <v>858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85">
        <v>10</v>
      </c>
      <c r="Q31" s="29">
        <v>2</v>
      </c>
      <c r="R31" s="29"/>
      <c r="S31" s="29"/>
      <c r="T31" s="29"/>
      <c r="U31" s="29">
        <v>3</v>
      </c>
      <c r="V31" s="29">
        <v>1</v>
      </c>
      <c r="W31" s="29">
        <v>1</v>
      </c>
      <c r="X31" s="29">
        <v>4</v>
      </c>
      <c r="Y31" s="29">
        <v>2</v>
      </c>
      <c r="Z31" s="32"/>
      <c r="AA31" s="85"/>
      <c r="AB31" s="29"/>
      <c r="AC31" s="32"/>
      <c r="AD31" s="85">
        <v>1</v>
      </c>
      <c r="AE31" s="29"/>
      <c r="AF31" s="29"/>
      <c r="AG31" s="29"/>
      <c r="AH31" s="29"/>
      <c r="AI31" s="32"/>
      <c r="AJ31" s="85">
        <v>1</v>
      </c>
      <c r="AK31" s="85">
        <v>4</v>
      </c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4"/>
      <c r="AY31" s="209">
        <v>3</v>
      </c>
      <c r="AZ31" s="26" t="s">
        <v>322</v>
      </c>
      <c r="BA31" s="28" t="s">
        <v>518</v>
      </c>
      <c r="BB31" s="28" t="s">
        <v>458</v>
      </c>
      <c r="BC31" s="299">
        <v>1.0009999999999999</v>
      </c>
      <c r="BD31" s="299">
        <v>0.10009999999999999</v>
      </c>
      <c r="BE31" s="32">
        <v>10</v>
      </c>
      <c r="BF31" s="339">
        <v>0</v>
      </c>
      <c r="BG31" s="340">
        <v>0</v>
      </c>
      <c r="BH31" s="340">
        <v>0</v>
      </c>
      <c r="BI31" s="409">
        <v>0</v>
      </c>
      <c r="BJ31" s="341">
        <v>375</v>
      </c>
      <c r="BK31" s="342">
        <v>0.22366666666666665</v>
      </c>
      <c r="BL31" s="340">
        <v>1.3687500000000001</v>
      </c>
      <c r="BM31" s="343">
        <v>3.2054071874999999E-2</v>
      </c>
      <c r="BN31" s="344">
        <v>375</v>
      </c>
      <c r="BO31" s="196">
        <v>397.50000000000011</v>
      </c>
      <c r="BP31" s="196">
        <v>421.34999999999991</v>
      </c>
      <c r="BQ31" s="196">
        <v>446.63099999999997</v>
      </c>
      <c r="BR31" s="196">
        <v>473.42885999999999</v>
      </c>
      <c r="BS31" s="196">
        <v>501.83459160000012</v>
      </c>
      <c r="BT31" s="196">
        <v>531.9446670960001</v>
      </c>
      <c r="BU31" s="196">
        <v>563.86134712175999</v>
      </c>
      <c r="BV31" s="196">
        <v>597.69302794906582</v>
      </c>
      <c r="BW31" s="196">
        <v>633.55460962600955</v>
      </c>
      <c r="BX31" s="196">
        <v>671.56788620357008</v>
      </c>
      <c r="BY31" s="196">
        <v>711.86195937578441</v>
      </c>
      <c r="BZ31" s="196">
        <v>754.57367693833146</v>
      </c>
      <c r="CA31" s="196">
        <v>799.84809755463141</v>
      </c>
      <c r="CB31" s="196">
        <v>847.83898340790915</v>
      </c>
      <c r="CC31" s="196">
        <v>898.70932241238381</v>
      </c>
      <c r="CD31" s="196">
        <v>952.63188175712685</v>
      </c>
      <c r="CE31" s="196">
        <v>1009.7897946625544</v>
      </c>
      <c r="CF31" s="196">
        <v>1070.3771823423076</v>
      </c>
      <c r="CG31" s="205">
        <v>1134.5998132828461</v>
      </c>
      <c r="CH31" s="318">
        <v>5</v>
      </c>
      <c r="CI31" s="319">
        <v>5.5</v>
      </c>
      <c r="CJ31" s="319">
        <v>6.05</v>
      </c>
      <c r="CK31" s="319">
        <v>6.6550000000000002</v>
      </c>
      <c r="CL31" s="319">
        <v>7.3205</v>
      </c>
      <c r="CM31" s="319">
        <v>8.0525500000000001</v>
      </c>
      <c r="CN31" s="319">
        <v>8.8578050000000008</v>
      </c>
      <c r="CO31" s="319">
        <v>9.7435855000000018</v>
      </c>
      <c r="CP31" s="319">
        <v>10.717944050000002</v>
      </c>
      <c r="CQ31" s="319">
        <v>8</v>
      </c>
      <c r="CR31" s="319">
        <v>8.8000000000000007</v>
      </c>
      <c r="CS31" s="319">
        <v>9.6800000000000015</v>
      </c>
      <c r="CT31" s="319">
        <v>10.648000000000001</v>
      </c>
      <c r="CU31" s="319">
        <v>12</v>
      </c>
      <c r="CV31" s="319">
        <v>13.2</v>
      </c>
      <c r="CW31" s="319">
        <v>14.52</v>
      </c>
      <c r="CX31" s="319">
        <v>15.972</v>
      </c>
      <c r="CY31" s="319">
        <v>12</v>
      </c>
      <c r="CZ31" s="319">
        <v>13.2</v>
      </c>
      <c r="DA31" s="320">
        <v>14.52</v>
      </c>
      <c r="DB31" s="345">
        <v>0</v>
      </c>
      <c r="DC31" s="346">
        <v>0</v>
      </c>
      <c r="DD31" s="346">
        <v>0</v>
      </c>
      <c r="DE31" s="346">
        <v>0</v>
      </c>
      <c r="DF31" s="346">
        <v>0</v>
      </c>
      <c r="DG31" s="346">
        <v>0</v>
      </c>
      <c r="DH31" s="346">
        <v>0</v>
      </c>
      <c r="DI31" s="346">
        <v>0</v>
      </c>
      <c r="DJ31" s="346">
        <v>0</v>
      </c>
      <c r="DK31" s="346">
        <v>0</v>
      </c>
      <c r="DL31" s="346">
        <v>0</v>
      </c>
      <c r="DM31" s="346">
        <v>0</v>
      </c>
      <c r="DN31" s="346">
        <v>0</v>
      </c>
      <c r="DO31" s="346">
        <v>0</v>
      </c>
      <c r="DP31" s="346">
        <v>0</v>
      </c>
      <c r="DQ31" s="346">
        <v>0</v>
      </c>
      <c r="DR31" s="346">
        <v>0</v>
      </c>
      <c r="DS31" s="346">
        <v>0</v>
      </c>
      <c r="DT31" s="346">
        <v>0</v>
      </c>
      <c r="DU31" s="347">
        <v>0</v>
      </c>
      <c r="DV31" s="348">
        <v>5</v>
      </c>
      <c r="DW31" s="202">
        <v>4</v>
      </c>
      <c r="DX31" s="209">
        <v>5</v>
      </c>
      <c r="DY31" s="202">
        <v>0</v>
      </c>
      <c r="DZ31" s="202">
        <v>1</v>
      </c>
      <c r="EA31" s="202">
        <v>0</v>
      </c>
      <c r="EB31" s="202">
        <v>0</v>
      </c>
      <c r="EC31" s="202">
        <v>111.62500000000001</v>
      </c>
      <c r="ED31" s="202">
        <v>102.18750000000001</v>
      </c>
      <c r="EE31" s="202">
        <v>0</v>
      </c>
      <c r="EF31" s="202">
        <v>25.062499999999996</v>
      </c>
      <c r="EG31" s="202">
        <v>29.3125</v>
      </c>
      <c r="EH31" s="202">
        <v>12.8125</v>
      </c>
      <c r="EI31" s="202">
        <v>16.6875</v>
      </c>
      <c r="EJ31" s="202">
        <v>56.4375</v>
      </c>
      <c r="EK31" s="202">
        <v>10.4375</v>
      </c>
      <c r="EL31" s="202">
        <v>10.4375</v>
      </c>
      <c r="EM31" s="204">
        <v>375</v>
      </c>
    </row>
    <row r="32" spans="1:144" x14ac:dyDescent="0.25">
      <c r="B32" s="203" t="s">
        <v>328</v>
      </c>
      <c r="C32" s="40"/>
      <c r="D32" s="41" t="s">
        <v>859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86">
        <v>10</v>
      </c>
      <c r="Q32" s="45">
        <v>2</v>
      </c>
      <c r="R32" s="45"/>
      <c r="S32" s="45"/>
      <c r="T32" s="45"/>
      <c r="U32" s="45">
        <v>3</v>
      </c>
      <c r="V32" s="45">
        <v>1</v>
      </c>
      <c r="W32" s="45">
        <v>1</v>
      </c>
      <c r="X32" s="45">
        <v>4</v>
      </c>
      <c r="Y32" s="45">
        <v>2</v>
      </c>
      <c r="Z32" s="49"/>
      <c r="AA32" s="86"/>
      <c r="AB32" s="45"/>
      <c r="AC32" s="49"/>
      <c r="AD32" s="86">
        <v>2</v>
      </c>
      <c r="AE32" s="45"/>
      <c r="AF32" s="45"/>
      <c r="AG32" s="45"/>
      <c r="AH32" s="45"/>
      <c r="AI32" s="49"/>
      <c r="AJ32" s="86">
        <v>1</v>
      </c>
      <c r="AK32" s="86">
        <v>4</v>
      </c>
      <c r="AL32" s="196"/>
      <c r="AM32" s="196"/>
      <c r="AN32" s="196"/>
      <c r="AO32" s="196"/>
      <c r="AP32" s="196"/>
      <c r="AQ32" s="196"/>
      <c r="AR32" s="196"/>
      <c r="AS32" s="196"/>
      <c r="AT32" s="196"/>
      <c r="AU32" s="196"/>
      <c r="AV32" s="196"/>
      <c r="AW32" s="196"/>
      <c r="AX32" s="205"/>
      <c r="AY32" s="210">
        <v>3</v>
      </c>
      <c r="AZ32" s="40" t="s">
        <v>321</v>
      </c>
      <c r="BA32" s="43" t="s">
        <v>517</v>
      </c>
      <c r="BB32" s="43" t="s">
        <v>461</v>
      </c>
      <c r="BC32" s="296">
        <v>0.14499999999999999</v>
      </c>
      <c r="BD32" s="296">
        <v>1.4499999999999999E-2</v>
      </c>
      <c r="BE32" s="49">
        <v>6</v>
      </c>
      <c r="BF32" s="345">
        <v>-0.35631807586029779</v>
      </c>
      <c r="BG32" s="346">
        <v>-3.5631807586029782E-2</v>
      </c>
      <c r="BH32" s="346">
        <v>-2.4573660404158471</v>
      </c>
      <c r="BI32" s="410">
        <v>0</v>
      </c>
      <c r="BJ32" s="349">
        <v>375</v>
      </c>
      <c r="BK32" s="350">
        <v>0.22366666666666665</v>
      </c>
      <c r="BL32" s="346">
        <v>1.3687500000000001</v>
      </c>
      <c r="BM32" s="347">
        <v>3.2054071874999999E-2</v>
      </c>
      <c r="BN32" s="344">
        <v>375</v>
      </c>
      <c r="BO32" s="196">
        <v>397.50000000000011</v>
      </c>
      <c r="BP32" s="196">
        <v>421.34999999999991</v>
      </c>
      <c r="BQ32" s="196">
        <v>446.63099999999997</v>
      </c>
      <c r="BR32" s="196">
        <v>473.42885999999999</v>
      </c>
      <c r="BS32" s="196">
        <v>501.83459160000012</v>
      </c>
      <c r="BT32" s="196">
        <v>531.9446670960001</v>
      </c>
      <c r="BU32" s="196">
        <v>563.86134712175999</v>
      </c>
      <c r="BV32" s="196">
        <v>597.69302794906582</v>
      </c>
      <c r="BW32" s="196">
        <v>633.55460962600955</v>
      </c>
      <c r="BX32" s="196">
        <v>671.56788620357008</v>
      </c>
      <c r="BY32" s="196">
        <v>711.86195937578441</v>
      </c>
      <c r="BZ32" s="196">
        <v>754.57367693833146</v>
      </c>
      <c r="CA32" s="196">
        <v>799.84809755463141</v>
      </c>
      <c r="CB32" s="196">
        <v>847.83898340790915</v>
      </c>
      <c r="CC32" s="196">
        <v>898.70932241238381</v>
      </c>
      <c r="CD32" s="196">
        <v>952.63188175712685</v>
      </c>
      <c r="CE32" s="196">
        <v>1009.7897946625544</v>
      </c>
      <c r="CF32" s="196">
        <v>1070.3771823423076</v>
      </c>
      <c r="CG32" s="205">
        <v>1134.5998132828461</v>
      </c>
      <c r="CH32" s="318">
        <v>7</v>
      </c>
      <c r="CI32" s="319">
        <v>7.7</v>
      </c>
      <c r="CJ32" s="319">
        <v>8.4700000000000006</v>
      </c>
      <c r="CK32" s="319">
        <v>9.3170000000000002</v>
      </c>
      <c r="CL32" s="319">
        <v>10.248699999999999</v>
      </c>
      <c r="CM32" s="319">
        <v>12</v>
      </c>
      <c r="CN32" s="319">
        <v>13.2</v>
      </c>
      <c r="CO32" s="319">
        <v>14.52</v>
      </c>
      <c r="CP32" s="319">
        <v>15.972</v>
      </c>
      <c r="CQ32" s="319">
        <v>12</v>
      </c>
      <c r="CR32" s="319">
        <v>13.2</v>
      </c>
      <c r="CS32" s="319">
        <v>14.52</v>
      </c>
      <c r="CT32" s="319">
        <v>15.972</v>
      </c>
      <c r="CU32" s="319">
        <v>12</v>
      </c>
      <c r="CV32" s="319">
        <v>13.2</v>
      </c>
      <c r="CW32" s="319">
        <v>14.52</v>
      </c>
      <c r="CX32" s="319">
        <v>15.972</v>
      </c>
      <c r="CY32" s="319">
        <v>12</v>
      </c>
      <c r="CZ32" s="319">
        <v>13.2</v>
      </c>
      <c r="DA32" s="320">
        <v>14.52</v>
      </c>
      <c r="DB32" s="345">
        <v>0</v>
      </c>
      <c r="DC32" s="346">
        <v>0</v>
      </c>
      <c r="DD32" s="346">
        <v>0</v>
      </c>
      <c r="DE32" s="346">
        <v>0</v>
      </c>
      <c r="DF32" s="346">
        <v>0</v>
      </c>
      <c r="DG32" s="346">
        <v>-0.16428719931229341</v>
      </c>
      <c r="DH32" s="346">
        <v>-4.1186552202250759E-2</v>
      </c>
      <c r="DI32" s="346">
        <v>-5.1749852653082185E-2</v>
      </c>
      <c r="DJ32" s="346">
        <v>-6.2729013092442276E-2</v>
      </c>
      <c r="DK32" s="346">
        <v>0.58559230045913235</v>
      </c>
      <c r="DL32" s="346">
        <v>-0.248413764283407</v>
      </c>
      <c r="DM32" s="346">
        <v>-0.31706432080985159</v>
      </c>
      <c r="DN32" s="346">
        <v>-0.39882495573130194</v>
      </c>
      <c r="DO32" s="346">
        <v>4.8413455373030434E-2</v>
      </c>
      <c r="DP32" s="346">
        <v>-5.5476841569295221E-3</v>
      </c>
      <c r="DQ32" s="346">
        <v>-6.7197766889575128E-3</v>
      </c>
      <c r="DR32" s="346">
        <v>-8.0014989693637517E-3</v>
      </c>
      <c r="DS32" s="346">
        <v>4.7267338013638582E-2</v>
      </c>
      <c r="DT32" s="346">
        <v>-7.0038234294802493E-3</v>
      </c>
      <c r="DU32" s="347">
        <v>-8.483563246154624E-3</v>
      </c>
      <c r="DV32" s="351">
        <v>5</v>
      </c>
      <c r="DW32" s="196">
        <v>4</v>
      </c>
      <c r="DX32" s="210">
        <v>7</v>
      </c>
      <c r="DY32" s="196">
        <v>0</v>
      </c>
      <c r="DZ32" s="196">
        <v>4</v>
      </c>
      <c r="EA32" s="196">
        <v>0</v>
      </c>
      <c r="EB32" s="196">
        <v>0</v>
      </c>
      <c r="EC32" s="196">
        <v>111.62500000000001</v>
      </c>
      <c r="ED32" s="196">
        <v>102.18750000000001</v>
      </c>
      <c r="EE32" s="196">
        <v>0</v>
      </c>
      <c r="EF32" s="196">
        <v>25.062499999999996</v>
      </c>
      <c r="EG32" s="196">
        <v>29.3125</v>
      </c>
      <c r="EH32" s="196">
        <v>12.8125</v>
      </c>
      <c r="EI32" s="196">
        <v>16.6875</v>
      </c>
      <c r="EJ32" s="196">
        <v>56.4375</v>
      </c>
      <c r="EK32" s="196">
        <v>10.4375</v>
      </c>
      <c r="EL32" s="196">
        <v>10.4375</v>
      </c>
      <c r="EM32" s="205">
        <v>375</v>
      </c>
    </row>
    <row r="33" spans="2:143" x14ac:dyDescent="0.25">
      <c r="B33" s="203" t="s">
        <v>329</v>
      </c>
      <c r="C33" s="40"/>
      <c r="D33" s="41" t="s">
        <v>860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86">
        <v>10</v>
      </c>
      <c r="Q33" s="45">
        <v>2</v>
      </c>
      <c r="R33" s="45"/>
      <c r="S33" s="45"/>
      <c r="T33" s="45"/>
      <c r="U33" s="45">
        <v>3</v>
      </c>
      <c r="V33" s="45">
        <v>1</v>
      </c>
      <c r="W33" s="45">
        <v>1</v>
      </c>
      <c r="X33" s="45">
        <v>4</v>
      </c>
      <c r="Y33" s="45">
        <v>2</v>
      </c>
      <c r="Z33" s="49"/>
      <c r="AA33" s="86"/>
      <c r="AB33" s="45"/>
      <c r="AC33" s="49"/>
      <c r="AD33" s="86">
        <v>3</v>
      </c>
      <c r="AE33" s="45"/>
      <c r="AF33" s="45"/>
      <c r="AG33" s="45"/>
      <c r="AH33" s="45"/>
      <c r="AI33" s="49"/>
      <c r="AJ33" s="86">
        <v>1</v>
      </c>
      <c r="AK33" s="86">
        <v>4</v>
      </c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205"/>
      <c r="AY33" s="210">
        <v>3</v>
      </c>
      <c r="AZ33" s="40" t="s">
        <v>321</v>
      </c>
      <c r="BA33" s="43" t="s">
        <v>517</v>
      </c>
      <c r="BB33" s="43" t="s">
        <v>461</v>
      </c>
      <c r="BC33" s="296">
        <v>0.14499999999999999</v>
      </c>
      <c r="BD33" s="296">
        <v>1.4499999999999999E-2</v>
      </c>
      <c r="BE33" s="49">
        <v>6</v>
      </c>
      <c r="BF33" s="345">
        <v>0.6261585122380755</v>
      </c>
      <c r="BG33" s="346">
        <v>6.2615851223807556E-2</v>
      </c>
      <c r="BH33" s="346">
        <v>4.318334567159142</v>
      </c>
      <c r="BI33" s="410">
        <v>0</v>
      </c>
      <c r="BJ33" s="349">
        <v>375</v>
      </c>
      <c r="BK33" s="350">
        <v>0.22366666666666665</v>
      </c>
      <c r="BL33" s="346">
        <v>1.3687500000000001</v>
      </c>
      <c r="BM33" s="347">
        <v>3.2054071874999999E-2</v>
      </c>
      <c r="BN33" s="344">
        <v>375</v>
      </c>
      <c r="BO33" s="196">
        <v>397.50000000000011</v>
      </c>
      <c r="BP33" s="196">
        <v>421.34999999999991</v>
      </c>
      <c r="BQ33" s="196">
        <v>446.63099999999997</v>
      </c>
      <c r="BR33" s="196">
        <v>473.42885999999999</v>
      </c>
      <c r="BS33" s="196">
        <v>501.83459160000012</v>
      </c>
      <c r="BT33" s="196">
        <v>531.9446670960001</v>
      </c>
      <c r="BU33" s="196">
        <v>563.86134712175999</v>
      </c>
      <c r="BV33" s="196">
        <v>597.69302794906582</v>
      </c>
      <c r="BW33" s="196">
        <v>633.55460962600955</v>
      </c>
      <c r="BX33" s="196">
        <v>671.56788620357008</v>
      </c>
      <c r="BY33" s="196">
        <v>711.86195937578441</v>
      </c>
      <c r="BZ33" s="196">
        <v>754.57367693833146</v>
      </c>
      <c r="CA33" s="196">
        <v>799.84809755463141</v>
      </c>
      <c r="CB33" s="196">
        <v>847.83898340790915</v>
      </c>
      <c r="CC33" s="196">
        <v>898.70932241238381</v>
      </c>
      <c r="CD33" s="196">
        <v>952.63188175712685</v>
      </c>
      <c r="CE33" s="196">
        <v>1009.7897946625544</v>
      </c>
      <c r="CF33" s="196">
        <v>1070.3771823423076</v>
      </c>
      <c r="CG33" s="205">
        <v>1134.5998132828461</v>
      </c>
      <c r="CH33" s="318">
        <v>11</v>
      </c>
      <c r="CI33" s="319">
        <v>12.1</v>
      </c>
      <c r="CJ33" s="319">
        <v>13.31</v>
      </c>
      <c r="CK33" s="319">
        <v>14.641</v>
      </c>
      <c r="CL33" s="319">
        <v>16.1051</v>
      </c>
      <c r="CM33" s="319">
        <v>12</v>
      </c>
      <c r="CN33" s="319">
        <v>13.2</v>
      </c>
      <c r="CO33" s="319">
        <v>14.52</v>
      </c>
      <c r="CP33" s="319">
        <v>15.972</v>
      </c>
      <c r="CQ33" s="319">
        <v>12</v>
      </c>
      <c r="CR33" s="319">
        <v>13.2</v>
      </c>
      <c r="CS33" s="319">
        <v>14.52</v>
      </c>
      <c r="CT33" s="319">
        <v>15.972</v>
      </c>
      <c r="CU33" s="319">
        <v>12</v>
      </c>
      <c r="CV33" s="319">
        <v>13.2</v>
      </c>
      <c r="CW33" s="319">
        <v>14.52</v>
      </c>
      <c r="CX33" s="319">
        <v>15.972</v>
      </c>
      <c r="CY33" s="319">
        <v>12</v>
      </c>
      <c r="CZ33" s="319">
        <v>13.2</v>
      </c>
      <c r="DA33" s="320">
        <v>14.52</v>
      </c>
      <c r="DB33" s="345">
        <v>0</v>
      </c>
      <c r="DC33" s="346">
        <v>0</v>
      </c>
      <c r="DD33" s="346">
        <v>0</v>
      </c>
      <c r="DE33" s="346">
        <v>0</v>
      </c>
      <c r="DF33" s="346">
        <v>0</v>
      </c>
      <c r="DG33" s="346">
        <v>0.1640275290345512</v>
      </c>
      <c r="DH33" s="346">
        <v>0.33187199957090585</v>
      </c>
      <c r="DI33" s="346">
        <v>0.33043162174102458</v>
      </c>
      <c r="DJ33" s="346">
        <v>0.28788035899296394</v>
      </c>
      <c r="DK33" s="346">
        <v>0.58559230045913235</v>
      </c>
      <c r="DL33" s="346">
        <v>-0.248413764283407</v>
      </c>
      <c r="DM33" s="346">
        <v>-0.31706432080985159</v>
      </c>
      <c r="DN33" s="346">
        <v>-0.39882495573130194</v>
      </c>
      <c r="DO33" s="346">
        <v>4.8413455373030434E-2</v>
      </c>
      <c r="DP33" s="346">
        <v>-5.5476841569295221E-3</v>
      </c>
      <c r="DQ33" s="346">
        <v>-6.7197766889575128E-3</v>
      </c>
      <c r="DR33" s="346">
        <v>-8.0014989693637517E-3</v>
      </c>
      <c r="DS33" s="346">
        <v>4.7267338013638582E-2</v>
      </c>
      <c r="DT33" s="346">
        <v>-7.0038234294802493E-3</v>
      </c>
      <c r="DU33" s="347">
        <v>-8.483563246154624E-3</v>
      </c>
      <c r="DV33" s="351">
        <v>5</v>
      </c>
      <c r="DW33" s="196">
        <v>4</v>
      </c>
      <c r="DX33" s="210">
        <v>11</v>
      </c>
      <c r="DY33" s="196">
        <v>0</v>
      </c>
      <c r="DZ33" s="196">
        <v>6</v>
      </c>
      <c r="EA33" s="196">
        <v>0</v>
      </c>
      <c r="EB33" s="196">
        <v>0</v>
      </c>
      <c r="EC33" s="196">
        <v>111.62500000000001</v>
      </c>
      <c r="ED33" s="196">
        <v>102.18750000000001</v>
      </c>
      <c r="EE33" s="196">
        <v>0</v>
      </c>
      <c r="EF33" s="196">
        <v>25.062499999999996</v>
      </c>
      <c r="EG33" s="196">
        <v>29.3125</v>
      </c>
      <c r="EH33" s="196">
        <v>12.8125</v>
      </c>
      <c r="EI33" s="196">
        <v>16.6875</v>
      </c>
      <c r="EJ33" s="196">
        <v>56.4375</v>
      </c>
      <c r="EK33" s="196">
        <v>10.4375</v>
      </c>
      <c r="EL33" s="196">
        <v>10.4375</v>
      </c>
      <c r="EM33" s="205">
        <v>375</v>
      </c>
    </row>
    <row r="34" spans="2:143" x14ac:dyDescent="0.25">
      <c r="B34" s="203" t="s">
        <v>330</v>
      </c>
      <c r="C34" s="40"/>
      <c r="D34" s="41" t="s">
        <v>861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86">
        <v>10</v>
      </c>
      <c r="Q34" s="45">
        <v>2</v>
      </c>
      <c r="R34" s="45"/>
      <c r="S34" s="45"/>
      <c r="T34" s="45"/>
      <c r="U34" s="45">
        <v>3</v>
      </c>
      <c r="V34" s="45">
        <v>1</v>
      </c>
      <c r="W34" s="45">
        <v>1</v>
      </c>
      <c r="X34" s="45">
        <v>4</v>
      </c>
      <c r="Y34" s="45">
        <v>2</v>
      </c>
      <c r="Z34" s="49"/>
      <c r="AA34" s="86"/>
      <c r="AB34" s="45"/>
      <c r="AC34" s="49"/>
      <c r="AD34" s="86">
        <v>4</v>
      </c>
      <c r="AE34" s="45"/>
      <c r="AF34" s="45"/>
      <c r="AG34" s="45"/>
      <c r="AH34" s="45"/>
      <c r="AI34" s="49"/>
      <c r="AJ34" s="86">
        <v>1</v>
      </c>
      <c r="AK34" s="86">
        <v>4</v>
      </c>
      <c r="AL34" s="196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205"/>
      <c r="AY34" s="210">
        <v>3</v>
      </c>
      <c r="AZ34" s="40" t="s">
        <v>322</v>
      </c>
      <c r="BA34" s="43" t="s">
        <v>518</v>
      </c>
      <c r="BB34" s="43" t="s">
        <v>458</v>
      </c>
      <c r="BC34" s="296">
        <v>1.0009999999999999</v>
      </c>
      <c r="BD34" s="296">
        <v>0.10009999999999999</v>
      </c>
      <c r="BE34" s="49">
        <v>2</v>
      </c>
      <c r="BF34" s="345">
        <v>1.3842184871309948</v>
      </c>
      <c r="BG34" s="346">
        <v>0.13842184871309948</v>
      </c>
      <c r="BH34" s="346">
        <v>1.3828356514795155</v>
      </c>
      <c r="BI34" s="410">
        <v>0</v>
      </c>
      <c r="BJ34" s="349">
        <v>375</v>
      </c>
      <c r="BK34" s="350">
        <v>0.22366666666666665</v>
      </c>
      <c r="BL34" s="346">
        <v>1.3687500000000001</v>
      </c>
      <c r="BM34" s="347">
        <v>3.2054071874999999E-2</v>
      </c>
      <c r="BN34" s="344">
        <v>375</v>
      </c>
      <c r="BO34" s="196">
        <v>397.50000000000011</v>
      </c>
      <c r="BP34" s="196">
        <v>421.34999999999991</v>
      </c>
      <c r="BQ34" s="196">
        <v>446.63099999999997</v>
      </c>
      <c r="BR34" s="196">
        <v>473.42885999999999</v>
      </c>
      <c r="BS34" s="196">
        <v>501.83459160000012</v>
      </c>
      <c r="BT34" s="196">
        <v>531.9446670960001</v>
      </c>
      <c r="BU34" s="196">
        <v>563.86134712175999</v>
      </c>
      <c r="BV34" s="196">
        <v>597.69302794906582</v>
      </c>
      <c r="BW34" s="196">
        <v>633.55460962600955</v>
      </c>
      <c r="BX34" s="196">
        <v>671.56788620357008</v>
      </c>
      <c r="BY34" s="196">
        <v>711.86195937578441</v>
      </c>
      <c r="BZ34" s="196">
        <v>754.57367693833146</v>
      </c>
      <c r="CA34" s="196">
        <v>799.84809755463141</v>
      </c>
      <c r="CB34" s="196">
        <v>847.83898340790915</v>
      </c>
      <c r="CC34" s="196">
        <v>898.70932241238381</v>
      </c>
      <c r="CD34" s="196">
        <v>952.63188175712685</v>
      </c>
      <c r="CE34" s="196">
        <v>1009.7897946625544</v>
      </c>
      <c r="CF34" s="196">
        <v>1070.3771823423076</v>
      </c>
      <c r="CG34" s="205">
        <v>1134.5998132828461</v>
      </c>
      <c r="CH34" s="318">
        <v>16</v>
      </c>
      <c r="CI34" s="319">
        <v>8</v>
      </c>
      <c r="CJ34" s="319">
        <v>8.8000000000000007</v>
      </c>
      <c r="CK34" s="319">
        <v>9.6800000000000015</v>
      </c>
      <c r="CL34" s="319">
        <v>10.648000000000001</v>
      </c>
      <c r="CM34" s="319">
        <v>12</v>
      </c>
      <c r="CN34" s="319">
        <v>13.2</v>
      </c>
      <c r="CO34" s="319">
        <v>14.52</v>
      </c>
      <c r="CP34" s="319">
        <v>15.972</v>
      </c>
      <c r="CQ34" s="319">
        <v>12</v>
      </c>
      <c r="CR34" s="319">
        <v>13.2</v>
      </c>
      <c r="CS34" s="319">
        <v>14.52</v>
      </c>
      <c r="CT34" s="319">
        <v>15.972</v>
      </c>
      <c r="CU34" s="319">
        <v>12</v>
      </c>
      <c r="CV34" s="319">
        <v>13.2</v>
      </c>
      <c r="CW34" s="319">
        <v>14.52</v>
      </c>
      <c r="CX34" s="319">
        <v>15.972</v>
      </c>
      <c r="CY34" s="319">
        <v>12</v>
      </c>
      <c r="CZ34" s="319">
        <v>13.2</v>
      </c>
      <c r="DA34" s="320">
        <v>14.52</v>
      </c>
      <c r="DB34" s="345">
        <v>0</v>
      </c>
      <c r="DC34" s="346">
        <v>-0.55964374886753987</v>
      </c>
      <c r="DD34" s="346">
        <v>0.4149973691481621</v>
      </c>
      <c r="DE34" s="346">
        <v>0.4584548076731062</v>
      </c>
      <c r="DF34" s="346">
        <v>0.47684772542225562</v>
      </c>
      <c r="DG34" s="346">
        <v>0.2783305862532639</v>
      </c>
      <c r="DH34" s="346">
        <v>0.43044779550185863</v>
      </c>
      <c r="DI34" s="346">
        <v>0.37997237448570886</v>
      </c>
      <c r="DJ34" s="346">
        <v>0.30949746854886873</v>
      </c>
      <c r="DK34" s="346">
        <v>0.53627101278840072</v>
      </c>
      <c r="DL34" s="346">
        <v>-0.2440194788170571</v>
      </c>
      <c r="DM34" s="346">
        <v>-0.31174162827615337</v>
      </c>
      <c r="DN34" s="346">
        <v>-0.39248701910126371</v>
      </c>
      <c r="DO34" s="346">
        <v>0</v>
      </c>
      <c r="DP34" s="346">
        <v>0</v>
      </c>
      <c r="DQ34" s="346">
        <v>0</v>
      </c>
      <c r="DR34" s="346">
        <v>0</v>
      </c>
      <c r="DS34" s="346">
        <v>0</v>
      </c>
      <c r="DT34" s="346">
        <v>0</v>
      </c>
      <c r="DU34" s="347">
        <v>0</v>
      </c>
      <c r="DV34" s="351">
        <v>5</v>
      </c>
      <c r="DW34" s="196">
        <v>4</v>
      </c>
      <c r="DX34" s="210">
        <v>16</v>
      </c>
      <c r="DY34" s="196">
        <v>0</v>
      </c>
      <c r="DZ34" s="196">
        <v>8</v>
      </c>
      <c r="EA34" s="196">
        <v>0</v>
      </c>
      <c r="EB34" s="196">
        <v>0</v>
      </c>
      <c r="EC34" s="196">
        <v>111.62500000000001</v>
      </c>
      <c r="ED34" s="196">
        <v>102.18750000000001</v>
      </c>
      <c r="EE34" s="196">
        <v>0</v>
      </c>
      <c r="EF34" s="196">
        <v>25.062499999999996</v>
      </c>
      <c r="EG34" s="196">
        <v>29.3125</v>
      </c>
      <c r="EH34" s="196">
        <v>12.8125</v>
      </c>
      <c r="EI34" s="196">
        <v>16.6875</v>
      </c>
      <c r="EJ34" s="196">
        <v>56.4375</v>
      </c>
      <c r="EK34" s="196">
        <v>10.4375</v>
      </c>
      <c r="EL34" s="196">
        <v>10.4375</v>
      </c>
      <c r="EM34" s="205">
        <v>375</v>
      </c>
    </row>
    <row r="35" spans="2:143" x14ac:dyDescent="0.25">
      <c r="B35" s="203" t="s">
        <v>852</v>
      </c>
      <c r="C35" s="40"/>
      <c r="D35" s="41" t="s">
        <v>862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86">
        <v>10</v>
      </c>
      <c r="Q35" s="45">
        <v>2</v>
      </c>
      <c r="R35" s="45"/>
      <c r="S35" s="45"/>
      <c r="T35" s="45"/>
      <c r="U35" s="45">
        <v>3</v>
      </c>
      <c r="V35" s="45">
        <v>1</v>
      </c>
      <c r="W35" s="45">
        <v>1</v>
      </c>
      <c r="X35" s="45">
        <v>4</v>
      </c>
      <c r="Y35" s="45">
        <v>2</v>
      </c>
      <c r="Z35" s="49"/>
      <c r="AA35" s="86"/>
      <c r="AB35" s="45"/>
      <c r="AC35" s="49"/>
      <c r="AD35" s="86">
        <v>5</v>
      </c>
      <c r="AE35" s="45"/>
      <c r="AF35" s="45"/>
      <c r="AG35" s="45"/>
      <c r="AH35" s="45"/>
      <c r="AI35" s="49"/>
      <c r="AJ35" s="86">
        <v>1</v>
      </c>
      <c r="AK35" s="86">
        <v>4</v>
      </c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196"/>
      <c r="AW35" s="196"/>
      <c r="AX35" s="205"/>
      <c r="AY35" s="210">
        <v>3</v>
      </c>
      <c r="AZ35" s="40" t="s">
        <v>531</v>
      </c>
      <c r="BA35" s="43" t="s">
        <v>535</v>
      </c>
      <c r="BB35" s="43" t="s">
        <v>530</v>
      </c>
      <c r="BC35" s="296">
        <v>2.4044999999999996</v>
      </c>
      <c r="BD35" s="296">
        <v>0.24044999999999997</v>
      </c>
      <c r="BE35" s="49">
        <v>2</v>
      </c>
      <c r="BF35" s="345">
        <v>4.0034245998096782</v>
      </c>
      <c r="BG35" s="346">
        <v>0.40034245998096785</v>
      </c>
      <c r="BH35" s="346">
        <v>1.6649717612017796</v>
      </c>
      <c r="BI35" s="410">
        <v>0</v>
      </c>
      <c r="BJ35" s="349">
        <v>375</v>
      </c>
      <c r="BK35" s="350">
        <v>0.22366666666666665</v>
      </c>
      <c r="BL35" s="346">
        <v>1.3687500000000001</v>
      </c>
      <c r="BM35" s="347">
        <v>3.2054071874999999E-2</v>
      </c>
      <c r="BN35" s="344">
        <v>375</v>
      </c>
      <c r="BO35" s="196">
        <v>397.50000000000011</v>
      </c>
      <c r="BP35" s="196">
        <v>421.34999999999991</v>
      </c>
      <c r="BQ35" s="196">
        <v>446.63099999999997</v>
      </c>
      <c r="BR35" s="196">
        <v>473.42885999999999</v>
      </c>
      <c r="BS35" s="196">
        <v>501.83459160000012</v>
      </c>
      <c r="BT35" s="196">
        <v>531.9446670960001</v>
      </c>
      <c r="BU35" s="196">
        <v>563.86134712175999</v>
      </c>
      <c r="BV35" s="196">
        <v>597.69302794906582</v>
      </c>
      <c r="BW35" s="196">
        <v>633.55460962600955</v>
      </c>
      <c r="BX35" s="196">
        <v>671.56788620357008</v>
      </c>
      <c r="BY35" s="196">
        <v>711.86195937578441</v>
      </c>
      <c r="BZ35" s="196">
        <v>754.57367693833146</v>
      </c>
      <c r="CA35" s="196">
        <v>799.84809755463141</v>
      </c>
      <c r="CB35" s="196">
        <v>847.83898340790915</v>
      </c>
      <c r="CC35" s="196">
        <v>898.70932241238381</v>
      </c>
      <c r="CD35" s="196">
        <v>952.63188175712685</v>
      </c>
      <c r="CE35" s="196">
        <v>1009.7897946625544</v>
      </c>
      <c r="CF35" s="196">
        <v>1070.3771823423076</v>
      </c>
      <c r="CG35" s="205">
        <v>1134.5998132828461</v>
      </c>
      <c r="CH35" s="318">
        <v>20</v>
      </c>
      <c r="CI35" s="319">
        <v>2.6</v>
      </c>
      <c r="CJ35" s="319">
        <v>2.665</v>
      </c>
      <c r="CK35" s="319">
        <v>2.7316250000000002</v>
      </c>
      <c r="CL35" s="319">
        <v>2.7999156250000001</v>
      </c>
      <c r="CM35" s="319">
        <v>2.869913515625</v>
      </c>
      <c r="CN35" s="319">
        <v>2.9416613535156251</v>
      </c>
      <c r="CO35" s="319">
        <v>3.0152028873535155</v>
      </c>
      <c r="CP35" s="319">
        <v>3.0905829595373535</v>
      </c>
      <c r="CQ35" s="319">
        <v>2.5</v>
      </c>
      <c r="CR35" s="319">
        <v>2.5625</v>
      </c>
      <c r="CS35" s="319">
        <v>2.6265624999999999</v>
      </c>
      <c r="CT35" s="319">
        <v>2.6922265624999997</v>
      </c>
      <c r="CU35" s="319">
        <v>2.7595322265624995</v>
      </c>
      <c r="CV35" s="319">
        <v>2.8285205322265621</v>
      </c>
      <c r="CW35" s="319">
        <v>2.8992335455322262</v>
      </c>
      <c r="CX35" s="319">
        <v>2.9717143841705318</v>
      </c>
      <c r="CY35" s="319">
        <v>2.5</v>
      </c>
      <c r="CZ35" s="319">
        <v>2.5625</v>
      </c>
      <c r="DA35" s="320">
        <v>2.6265624999999999</v>
      </c>
      <c r="DB35" s="345">
        <v>0</v>
      </c>
      <c r="DC35" s="346">
        <v>-1.6660440128631617</v>
      </c>
      <c r="DD35" s="346">
        <v>0.57391418013678608</v>
      </c>
      <c r="DE35" s="346">
        <v>0.6161258747072732</v>
      </c>
      <c r="DF35" s="346">
        <v>0.65370282124790335</v>
      </c>
      <c r="DG35" s="346">
        <v>0.50874000241632422</v>
      </c>
      <c r="DH35" s="346">
        <v>0.7355507813847928</v>
      </c>
      <c r="DI35" s="346">
        <v>0.78007495583786546</v>
      </c>
      <c r="DJ35" s="346">
        <v>0.82717903092206724</v>
      </c>
      <c r="DK35" s="346">
        <v>0.41483515180079378</v>
      </c>
      <c r="DL35" s="346">
        <v>0.14971074846975108</v>
      </c>
      <c r="DM35" s="346">
        <v>0.20242680454947082</v>
      </c>
      <c r="DN35" s="346">
        <v>0.27068858060320267</v>
      </c>
      <c r="DO35" s="346">
        <v>0.37940381945983104</v>
      </c>
      <c r="DP35" s="346">
        <v>0.49863425267389117</v>
      </c>
      <c r="DQ35" s="346">
        <v>0.65025187332095347</v>
      </c>
      <c r="DR35" s="346">
        <v>0.83788276539110451</v>
      </c>
      <c r="DS35" s="346">
        <v>6.6923329236625584E-2</v>
      </c>
      <c r="DT35" s="346">
        <v>0.63835419960213136</v>
      </c>
      <c r="DU35" s="347">
        <v>0.8303144016001236</v>
      </c>
      <c r="DV35" s="351">
        <v>5</v>
      </c>
      <c r="DW35" s="196">
        <v>4</v>
      </c>
      <c r="DX35" s="210">
        <v>20</v>
      </c>
      <c r="DY35" s="196">
        <v>0</v>
      </c>
      <c r="DZ35" s="196">
        <v>10</v>
      </c>
      <c r="EA35" s="196">
        <v>0</v>
      </c>
      <c r="EB35" s="196">
        <v>0</v>
      </c>
      <c r="EC35" s="196">
        <v>111.62500000000001</v>
      </c>
      <c r="ED35" s="196">
        <v>102.18750000000001</v>
      </c>
      <c r="EE35" s="196">
        <v>0</v>
      </c>
      <c r="EF35" s="196">
        <v>25.062499999999996</v>
      </c>
      <c r="EG35" s="196">
        <v>29.3125</v>
      </c>
      <c r="EH35" s="196">
        <v>12.8125</v>
      </c>
      <c r="EI35" s="196">
        <v>16.6875</v>
      </c>
      <c r="EJ35" s="196">
        <v>56.4375</v>
      </c>
      <c r="EK35" s="196">
        <v>10.4375</v>
      </c>
      <c r="EL35" s="196">
        <v>10.4375</v>
      </c>
      <c r="EM35" s="205">
        <v>375</v>
      </c>
    </row>
    <row r="36" spans="2:143" x14ac:dyDescent="0.25">
      <c r="B36" s="203" t="s">
        <v>853</v>
      </c>
      <c r="C36" s="40"/>
      <c r="D36" s="41" t="s">
        <v>863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86">
        <v>10</v>
      </c>
      <c r="Q36" s="45">
        <v>3</v>
      </c>
      <c r="R36" s="45"/>
      <c r="S36" s="45"/>
      <c r="T36" s="45"/>
      <c r="U36" s="45">
        <v>2</v>
      </c>
      <c r="V36" s="45">
        <v>1</v>
      </c>
      <c r="W36" s="45">
        <v>1</v>
      </c>
      <c r="X36" s="45">
        <v>4</v>
      </c>
      <c r="Y36" s="45">
        <v>1</v>
      </c>
      <c r="Z36" s="49"/>
      <c r="AA36" s="86"/>
      <c r="AB36" s="45"/>
      <c r="AC36" s="49"/>
      <c r="AD36" s="86">
        <v>1</v>
      </c>
      <c r="AE36" s="45"/>
      <c r="AF36" s="45"/>
      <c r="AG36" s="45"/>
      <c r="AH36" s="45"/>
      <c r="AI36" s="49"/>
      <c r="AJ36" s="86">
        <v>1</v>
      </c>
      <c r="AK36" s="86">
        <v>6</v>
      </c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196"/>
      <c r="AW36" s="196"/>
      <c r="AX36" s="205"/>
      <c r="AY36" s="210">
        <v>3</v>
      </c>
      <c r="AZ36" s="40" t="s">
        <v>322</v>
      </c>
      <c r="BA36" s="43" t="s">
        <v>515</v>
      </c>
      <c r="BB36" s="43" t="s">
        <v>455</v>
      </c>
      <c r="BC36" s="296">
        <v>4.9980000000000002</v>
      </c>
      <c r="BD36" s="296">
        <v>0.49980000000000002</v>
      </c>
      <c r="BE36" s="49">
        <v>10</v>
      </c>
      <c r="BF36" s="345">
        <v>0</v>
      </c>
      <c r="BG36" s="346">
        <v>0</v>
      </c>
      <c r="BH36" s="346">
        <v>0</v>
      </c>
      <c r="BI36" s="410">
        <v>0</v>
      </c>
      <c r="BJ36" s="349">
        <v>2000.0000000000002</v>
      </c>
      <c r="BK36" s="350">
        <v>0.22366666666666662</v>
      </c>
      <c r="BL36" s="346">
        <v>7.3000000000000007</v>
      </c>
      <c r="BM36" s="347">
        <v>0.17095505000000003</v>
      </c>
      <c r="BN36" s="344">
        <v>2000.0000000000002</v>
      </c>
      <c r="BO36" s="196">
        <v>2120.0000000000005</v>
      </c>
      <c r="BP36" s="196">
        <v>2247.1999999999998</v>
      </c>
      <c r="BQ36" s="196">
        <v>2382.0320000000002</v>
      </c>
      <c r="BR36" s="196">
        <v>2524.9539199999995</v>
      </c>
      <c r="BS36" s="196">
        <v>2676.4511551999999</v>
      </c>
      <c r="BT36" s="196">
        <v>2837.0382245120009</v>
      </c>
      <c r="BU36" s="196">
        <v>3007.2605179827201</v>
      </c>
      <c r="BV36" s="196">
        <v>3187.6961490616836</v>
      </c>
      <c r="BW36" s="196">
        <v>3378.9579180053843</v>
      </c>
      <c r="BX36" s="196">
        <v>3581.6953930857071</v>
      </c>
      <c r="BY36" s="196">
        <v>3796.59711667085</v>
      </c>
      <c r="BZ36" s="196">
        <v>4024.3929436711001</v>
      </c>
      <c r="CA36" s="196">
        <v>4265.8565202913678</v>
      </c>
      <c r="CB36" s="196">
        <v>4521.8079115088494</v>
      </c>
      <c r="CC36" s="196">
        <v>4793.11638619938</v>
      </c>
      <c r="CD36" s="196">
        <v>5080.703369371342</v>
      </c>
      <c r="CE36" s="196">
        <v>5385.5455715336238</v>
      </c>
      <c r="CF36" s="196">
        <v>5708.6783058256406</v>
      </c>
      <c r="CG36" s="205">
        <v>6051.1990041751797</v>
      </c>
      <c r="CH36" s="318">
        <v>2</v>
      </c>
      <c r="CI36" s="319">
        <v>2.0499999999999998</v>
      </c>
      <c r="CJ36" s="319">
        <v>2.1012499999999998</v>
      </c>
      <c r="CK36" s="319">
        <v>2.1537812499999998</v>
      </c>
      <c r="CL36" s="319">
        <v>2.20762578125</v>
      </c>
      <c r="CM36" s="319">
        <v>2.2628164257812502</v>
      </c>
      <c r="CN36" s="319">
        <v>2.3193868364257813</v>
      </c>
      <c r="CO36" s="319">
        <v>2.3773715073364259</v>
      </c>
      <c r="CP36" s="319">
        <v>2.4368057950198367</v>
      </c>
      <c r="CQ36" s="319">
        <v>2</v>
      </c>
      <c r="CR36" s="319">
        <v>2.0499999999999998</v>
      </c>
      <c r="CS36" s="319">
        <v>2.1012499999999998</v>
      </c>
      <c r="CT36" s="319">
        <v>2.1537812499999998</v>
      </c>
      <c r="CU36" s="319">
        <v>2.20762578125</v>
      </c>
      <c r="CV36" s="319">
        <v>2.2628164257812502</v>
      </c>
      <c r="CW36" s="319">
        <v>2.3193868364257813</v>
      </c>
      <c r="CX36" s="319">
        <v>2.3773715073364259</v>
      </c>
      <c r="CY36" s="319">
        <v>2.5</v>
      </c>
      <c r="CZ36" s="319">
        <v>2.5625</v>
      </c>
      <c r="DA36" s="320">
        <v>2.6265624999999999</v>
      </c>
      <c r="DB36" s="345">
        <v>0</v>
      </c>
      <c r="DC36" s="346">
        <v>0</v>
      </c>
      <c r="DD36" s="346">
        <v>0</v>
      </c>
      <c r="DE36" s="346">
        <v>0</v>
      </c>
      <c r="DF36" s="346">
        <v>0</v>
      </c>
      <c r="DG36" s="346">
        <v>0</v>
      </c>
      <c r="DH36" s="346">
        <v>0</v>
      </c>
      <c r="DI36" s="346">
        <v>0</v>
      </c>
      <c r="DJ36" s="346">
        <v>0</v>
      </c>
      <c r="DK36" s="346">
        <v>0</v>
      </c>
      <c r="DL36" s="346">
        <v>0</v>
      </c>
      <c r="DM36" s="346">
        <v>0</v>
      </c>
      <c r="DN36" s="346">
        <v>0</v>
      </c>
      <c r="DO36" s="346">
        <v>0</v>
      </c>
      <c r="DP36" s="346">
        <v>0</v>
      </c>
      <c r="DQ36" s="346">
        <v>0</v>
      </c>
      <c r="DR36" s="346">
        <v>0</v>
      </c>
      <c r="DS36" s="346">
        <v>0</v>
      </c>
      <c r="DT36" s="346">
        <v>0</v>
      </c>
      <c r="DU36" s="347">
        <v>0</v>
      </c>
      <c r="DV36" s="351">
        <v>7</v>
      </c>
      <c r="DW36" s="196">
        <v>2</v>
      </c>
      <c r="DX36" s="210">
        <v>2</v>
      </c>
      <c r="DY36" s="196">
        <v>4</v>
      </c>
      <c r="DZ36" s="196">
        <v>1</v>
      </c>
      <c r="EA36" s="196">
        <v>0</v>
      </c>
      <c r="EB36" s="196">
        <v>0</v>
      </c>
      <c r="EC36" s="196">
        <v>595.33333333333337</v>
      </c>
      <c r="ED36" s="196">
        <v>545</v>
      </c>
      <c r="EE36" s="196">
        <v>0</v>
      </c>
      <c r="EF36" s="196">
        <v>133.66666666666666</v>
      </c>
      <c r="EG36" s="196">
        <v>156.33333333333331</v>
      </c>
      <c r="EH36" s="196">
        <v>68.333333333333329</v>
      </c>
      <c r="EI36" s="196">
        <v>89</v>
      </c>
      <c r="EJ36" s="196">
        <v>301</v>
      </c>
      <c r="EK36" s="196">
        <v>55.666666666666671</v>
      </c>
      <c r="EL36" s="196">
        <v>55.666666666666671</v>
      </c>
      <c r="EM36" s="205">
        <v>2000.0000000000002</v>
      </c>
    </row>
    <row r="37" spans="2:143" x14ac:dyDescent="0.25">
      <c r="B37" s="203" t="s">
        <v>854</v>
      </c>
      <c r="C37" s="40"/>
      <c r="D37" s="41" t="s">
        <v>864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86">
        <v>10</v>
      </c>
      <c r="Q37" s="45">
        <v>3</v>
      </c>
      <c r="R37" s="45"/>
      <c r="S37" s="45"/>
      <c r="T37" s="45"/>
      <c r="U37" s="45">
        <v>2</v>
      </c>
      <c r="V37" s="45">
        <v>1</v>
      </c>
      <c r="W37" s="45">
        <v>1</v>
      </c>
      <c r="X37" s="45">
        <v>4</v>
      </c>
      <c r="Y37" s="45">
        <v>1</v>
      </c>
      <c r="Z37" s="49"/>
      <c r="AA37" s="86"/>
      <c r="AB37" s="45"/>
      <c r="AC37" s="49"/>
      <c r="AD37" s="86">
        <v>2</v>
      </c>
      <c r="AE37" s="45"/>
      <c r="AF37" s="45"/>
      <c r="AG37" s="45"/>
      <c r="AH37" s="45"/>
      <c r="AI37" s="49"/>
      <c r="AJ37" s="86">
        <v>1</v>
      </c>
      <c r="AK37" s="86">
        <v>6</v>
      </c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205"/>
      <c r="AY37" s="210">
        <v>3</v>
      </c>
      <c r="AZ37" s="40" t="s">
        <v>321</v>
      </c>
      <c r="BA37" s="43" t="s">
        <v>509</v>
      </c>
      <c r="BB37" s="43" t="s">
        <v>450</v>
      </c>
      <c r="BC37" s="296">
        <v>0.66500000000000004</v>
      </c>
      <c r="BD37" s="296">
        <v>6.6500000000000004E-2</v>
      </c>
      <c r="BE37" s="49">
        <v>6</v>
      </c>
      <c r="BF37" s="345">
        <v>2.0922644593458544</v>
      </c>
      <c r="BG37" s="346">
        <v>0.20922644593458545</v>
      </c>
      <c r="BH37" s="346">
        <v>3.1462623448809839</v>
      </c>
      <c r="BI37" s="410">
        <v>0</v>
      </c>
      <c r="BJ37" s="349">
        <v>2000.0000000000002</v>
      </c>
      <c r="BK37" s="350">
        <v>0.22366666666666662</v>
      </c>
      <c r="BL37" s="346">
        <v>7.3000000000000007</v>
      </c>
      <c r="BM37" s="347">
        <v>0.17095505000000003</v>
      </c>
      <c r="BN37" s="344">
        <v>2000.0000000000002</v>
      </c>
      <c r="BO37" s="196">
        <v>2120.0000000000005</v>
      </c>
      <c r="BP37" s="196">
        <v>2247.1999999999998</v>
      </c>
      <c r="BQ37" s="196">
        <v>2382.0320000000002</v>
      </c>
      <c r="BR37" s="196">
        <v>2524.9539199999995</v>
      </c>
      <c r="BS37" s="196">
        <v>2676.4511551999999</v>
      </c>
      <c r="BT37" s="196">
        <v>2837.0382245120009</v>
      </c>
      <c r="BU37" s="196">
        <v>3007.2605179827201</v>
      </c>
      <c r="BV37" s="196">
        <v>3187.6961490616836</v>
      </c>
      <c r="BW37" s="196">
        <v>3378.9579180053843</v>
      </c>
      <c r="BX37" s="196">
        <v>3581.6953930857071</v>
      </c>
      <c r="BY37" s="196">
        <v>3796.59711667085</v>
      </c>
      <c r="BZ37" s="196">
        <v>4024.3929436711001</v>
      </c>
      <c r="CA37" s="196">
        <v>4265.8565202913678</v>
      </c>
      <c r="CB37" s="196">
        <v>4521.8079115088494</v>
      </c>
      <c r="CC37" s="196">
        <v>4793.11638619938</v>
      </c>
      <c r="CD37" s="196">
        <v>5080.703369371342</v>
      </c>
      <c r="CE37" s="196">
        <v>5385.5455715336238</v>
      </c>
      <c r="CF37" s="196">
        <v>5708.6783058256406</v>
      </c>
      <c r="CG37" s="205">
        <v>6051.1990041751797</v>
      </c>
      <c r="CH37" s="318">
        <v>3</v>
      </c>
      <c r="CI37" s="319">
        <v>3.0750000000000002</v>
      </c>
      <c r="CJ37" s="319">
        <v>3.151875</v>
      </c>
      <c r="CK37" s="319">
        <v>3.2306718750000001</v>
      </c>
      <c r="CL37" s="319">
        <v>3.311438671875</v>
      </c>
      <c r="CM37" s="319">
        <v>2.5</v>
      </c>
      <c r="CN37" s="319">
        <v>2.5625</v>
      </c>
      <c r="CO37" s="319">
        <v>2.6265624999999999</v>
      </c>
      <c r="CP37" s="319">
        <v>2.6922265624999997</v>
      </c>
      <c r="CQ37" s="319">
        <v>2.7595322265624995</v>
      </c>
      <c r="CR37" s="319">
        <v>2.8285205322265621</v>
      </c>
      <c r="CS37" s="319">
        <v>2.8992335455322262</v>
      </c>
      <c r="CT37" s="319">
        <v>2.9717143841705318</v>
      </c>
      <c r="CU37" s="319">
        <v>2.5</v>
      </c>
      <c r="CV37" s="319">
        <v>2.5625</v>
      </c>
      <c r="CW37" s="319">
        <v>2.6265624999999999</v>
      </c>
      <c r="CX37" s="319">
        <v>2.6922265624999997</v>
      </c>
      <c r="CY37" s="319">
        <v>2.7595322265624995</v>
      </c>
      <c r="CZ37" s="319">
        <v>2.8285205322265621</v>
      </c>
      <c r="DA37" s="320">
        <v>2.8992335455322262</v>
      </c>
      <c r="DB37" s="345">
        <v>0</v>
      </c>
      <c r="DC37" s="346">
        <v>0</v>
      </c>
      <c r="DD37" s="346">
        <v>0</v>
      </c>
      <c r="DE37" s="346">
        <v>0</v>
      </c>
      <c r="DF37" s="346">
        <v>0</v>
      </c>
      <c r="DG37" s="346">
        <v>-0.56542799135372412</v>
      </c>
      <c r="DH37" s="346">
        <v>4.4925522346990654E-2</v>
      </c>
      <c r="DI37" s="346">
        <v>5.0772714264875063E-2</v>
      </c>
      <c r="DJ37" s="346">
        <v>5.734037231306921E-2</v>
      </c>
      <c r="DK37" s="346">
        <v>4.3345190848508688</v>
      </c>
      <c r="DL37" s="346">
        <v>-3.3011177056247121E-2</v>
      </c>
      <c r="DM37" s="346">
        <v>-3.7617843142558449E-2</v>
      </c>
      <c r="DN37" s="346">
        <v>-4.2815428242001907E-2</v>
      </c>
      <c r="DO37" s="346">
        <v>-0.43418457958179779</v>
      </c>
      <c r="DP37" s="346">
        <v>-1.57152437953334E-2</v>
      </c>
      <c r="DQ37" s="346">
        <v>-1.7918221218796049E-2</v>
      </c>
      <c r="DR37" s="346">
        <v>-2.0404484523028898E-2</v>
      </c>
      <c r="DS37" s="346">
        <v>0.40133910421019259</v>
      </c>
      <c r="DT37" s="346">
        <v>-2.1668605133465135E-2</v>
      </c>
      <c r="DU37" s="347">
        <v>-2.4583000872434368E-2</v>
      </c>
      <c r="DV37" s="351">
        <v>7</v>
      </c>
      <c r="DW37" s="196">
        <v>2</v>
      </c>
      <c r="DX37" s="210">
        <v>3</v>
      </c>
      <c r="DY37" s="196">
        <v>4</v>
      </c>
      <c r="DZ37" s="196">
        <v>5</v>
      </c>
      <c r="EA37" s="196">
        <v>0</v>
      </c>
      <c r="EB37" s="196">
        <v>0</v>
      </c>
      <c r="EC37" s="196">
        <v>595.33333333333337</v>
      </c>
      <c r="ED37" s="196">
        <v>545</v>
      </c>
      <c r="EE37" s="196">
        <v>0</v>
      </c>
      <c r="EF37" s="196">
        <v>133.66666666666666</v>
      </c>
      <c r="EG37" s="196">
        <v>156.33333333333331</v>
      </c>
      <c r="EH37" s="196">
        <v>68.333333333333329</v>
      </c>
      <c r="EI37" s="196">
        <v>89</v>
      </c>
      <c r="EJ37" s="196">
        <v>301</v>
      </c>
      <c r="EK37" s="196">
        <v>55.666666666666671</v>
      </c>
      <c r="EL37" s="196">
        <v>55.666666666666671</v>
      </c>
      <c r="EM37" s="205">
        <v>2000.0000000000002</v>
      </c>
    </row>
    <row r="38" spans="2:143" x14ac:dyDescent="0.25">
      <c r="B38" s="203" t="s">
        <v>855</v>
      </c>
      <c r="C38" s="40"/>
      <c r="D38" s="41" t="s">
        <v>866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86">
        <v>10</v>
      </c>
      <c r="Q38" s="45">
        <v>3</v>
      </c>
      <c r="R38" s="45"/>
      <c r="S38" s="45"/>
      <c r="T38" s="45"/>
      <c r="U38" s="45">
        <v>2</v>
      </c>
      <c r="V38" s="45">
        <v>1</v>
      </c>
      <c r="W38" s="45">
        <v>1</v>
      </c>
      <c r="X38" s="45">
        <v>4</v>
      </c>
      <c r="Y38" s="45">
        <v>1</v>
      </c>
      <c r="Z38" s="49"/>
      <c r="AA38" s="86"/>
      <c r="AB38" s="45"/>
      <c r="AC38" s="49"/>
      <c r="AD38" s="86">
        <v>3</v>
      </c>
      <c r="AE38" s="45"/>
      <c r="AF38" s="45"/>
      <c r="AG38" s="45"/>
      <c r="AH38" s="45"/>
      <c r="AI38" s="49"/>
      <c r="AJ38" s="86">
        <v>1</v>
      </c>
      <c r="AK38" s="86">
        <v>6</v>
      </c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205"/>
      <c r="AY38" s="210">
        <v>3</v>
      </c>
      <c r="AZ38" s="40" t="s">
        <v>321</v>
      </c>
      <c r="BA38" s="43" t="s">
        <v>509</v>
      </c>
      <c r="BB38" s="43" t="s">
        <v>450</v>
      </c>
      <c r="BC38" s="296">
        <v>0.66500000000000004</v>
      </c>
      <c r="BD38" s="296">
        <v>6.6500000000000004E-2</v>
      </c>
      <c r="BE38" s="49">
        <v>5</v>
      </c>
      <c r="BF38" s="345">
        <v>2.5579462195277269</v>
      </c>
      <c r="BG38" s="346">
        <v>0.25579462195277269</v>
      </c>
      <c r="BH38" s="346">
        <v>3.8465356684627472</v>
      </c>
      <c r="BI38" s="410">
        <v>0</v>
      </c>
      <c r="BJ38" s="349">
        <v>2000.0000000000002</v>
      </c>
      <c r="BK38" s="350">
        <v>0.22366666666666662</v>
      </c>
      <c r="BL38" s="346">
        <v>7.3000000000000007</v>
      </c>
      <c r="BM38" s="347">
        <v>0.17095505000000003</v>
      </c>
      <c r="BN38" s="344">
        <v>2000.0000000000002</v>
      </c>
      <c r="BO38" s="196">
        <v>2120.0000000000005</v>
      </c>
      <c r="BP38" s="196">
        <v>2247.1999999999998</v>
      </c>
      <c r="BQ38" s="196">
        <v>2382.0320000000002</v>
      </c>
      <c r="BR38" s="196">
        <v>2524.9539199999995</v>
      </c>
      <c r="BS38" s="196">
        <v>2676.4511551999999</v>
      </c>
      <c r="BT38" s="196">
        <v>2837.0382245120009</v>
      </c>
      <c r="BU38" s="196">
        <v>3007.2605179827201</v>
      </c>
      <c r="BV38" s="196">
        <v>3187.6961490616836</v>
      </c>
      <c r="BW38" s="196">
        <v>3378.9579180053843</v>
      </c>
      <c r="BX38" s="196">
        <v>3581.6953930857071</v>
      </c>
      <c r="BY38" s="196">
        <v>3796.59711667085</v>
      </c>
      <c r="BZ38" s="196">
        <v>4024.3929436711001</v>
      </c>
      <c r="CA38" s="196">
        <v>4265.8565202913678</v>
      </c>
      <c r="CB38" s="196">
        <v>4521.8079115088494</v>
      </c>
      <c r="CC38" s="196">
        <v>4793.11638619938</v>
      </c>
      <c r="CD38" s="196">
        <v>5080.703369371342</v>
      </c>
      <c r="CE38" s="196">
        <v>5385.5455715336238</v>
      </c>
      <c r="CF38" s="196">
        <v>5708.6783058256406</v>
      </c>
      <c r="CG38" s="205">
        <v>6051.1990041751797</v>
      </c>
      <c r="CH38" s="318">
        <v>4.5</v>
      </c>
      <c r="CI38" s="319">
        <v>4.6124999999999998</v>
      </c>
      <c r="CJ38" s="319">
        <v>4.7278124999999998</v>
      </c>
      <c r="CK38" s="319">
        <v>4.8460078124999999</v>
      </c>
      <c r="CL38" s="319">
        <v>2.5</v>
      </c>
      <c r="CM38" s="319">
        <v>2.5625</v>
      </c>
      <c r="CN38" s="319">
        <v>2.6265624999999999</v>
      </c>
      <c r="CO38" s="319">
        <v>2.6922265624999997</v>
      </c>
      <c r="CP38" s="319">
        <v>2.7595322265624995</v>
      </c>
      <c r="CQ38" s="319">
        <v>2.8285205322265621</v>
      </c>
      <c r="CR38" s="319">
        <v>2.8992335455322262</v>
      </c>
      <c r="CS38" s="319">
        <v>2.9717143841705318</v>
      </c>
      <c r="CT38" s="319">
        <v>2.5</v>
      </c>
      <c r="CU38" s="319">
        <v>2.5625</v>
      </c>
      <c r="CV38" s="319">
        <v>2.6265624999999999</v>
      </c>
      <c r="CW38" s="319">
        <v>2.6922265624999997</v>
      </c>
      <c r="CX38" s="319">
        <v>2.7595322265624995</v>
      </c>
      <c r="CY38" s="319">
        <v>2.8285205322265621</v>
      </c>
      <c r="CZ38" s="319">
        <v>2.8992335455322262</v>
      </c>
      <c r="DA38" s="320">
        <v>2.9717143841705318</v>
      </c>
      <c r="DB38" s="345">
        <v>0</v>
      </c>
      <c r="DC38" s="346">
        <v>0</v>
      </c>
      <c r="DD38" s="346">
        <v>0</v>
      </c>
      <c r="DE38" s="346">
        <v>0</v>
      </c>
      <c r="DF38" s="346">
        <v>-0.45781738000161454</v>
      </c>
      <c r="DG38" s="346">
        <v>0.16567698633822836</v>
      </c>
      <c r="DH38" s="346">
        <v>0.1862196712275086</v>
      </c>
      <c r="DI38" s="346">
        <v>0.20921749181950133</v>
      </c>
      <c r="DJ38" s="346">
        <v>5.0226760362835243E-2</v>
      </c>
      <c r="DK38" s="346">
        <v>4.5157079852931217</v>
      </c>
      <c r="DL38" s="346">
        <v>-3.7023218197878016E-2</v>
      </c>
      <c r="DM38" s="346">
        <v>-4.2159609395000075E-2</v>
      </c>
      <c r="DN38" s="346">
        <v>-0.62016736503226966</v>
      </c>
      <c r="DO38" s="346">
        <v>0.16757304945005824</v>
      </c>
      <c r="DP38" s="346">
        <v>-1.9574069801141292E-2</v>
      </c>
      <c r="DQ38" s="346">
        <v>-2.2302850945175479E-2</v>
      </c>
      <c r="DR38" s="346">
        <v>-0.21011147709667277</v>
      </c>
      <c r="DS38" s="346">
        <v>0.5804251294983569</v>
      </c>
      <c r="DT38" s="346">
        <v>-2.8063189181992243E-2</v>
      </c>
      <c r="DU38" s="347">
        <v>-3.1821886268854627E-2</v>
      </c>
      <c r="DV38" s="351">
        <v>7</v>
      </c>
      <c r="DW38" s="196">
        <v>2</v>
      </c>
      <c r="DX38" s="210">
        <v>4.5</v>
      </c>
      <c r="DY38" s="196">
        <v>4</v>
      </c>
      <c r="DZ38" s="196">
        <v>10</v>
      </c>
      <c r="EA38" s="196">
        <v>0</v>
      </c>
      <c r="EB38" s="196">
        <v>0</v>
      </c>
      <c r="EC38" s="196">
        <v>595.33333333333337</v>
      </c>
      <c r="ED38" s="196">
        <v>545</v>
      </c>
      <c r="EE38" s="196">
        <v>0</v>
      </c>
      <c r="EF38" s="196">
        <v>133.66666666666666</v>
      </c>
      <c r="EG38" s="196">
        <v>156.33333333333331</v>
      </c>
      <c r="EH38" s="196">
        <v>68.333333333333329</v>
      </c>
      <c r="EI38" s="196">
        <v>89</v>
      </c>
      <c r="EJ38" s="196">
        <v>301</v>
      </c>
      <c r="EK38" s="196">
        <v>55.666666666666671</v>
      </c>
      <c r="EL38" s="196">
        <v>55.666666666666671</v>
      </c>
      <c r="EM38" s="205">
        <v>2000.0000000000002</v>
      </c>
    </row>
    <row r="39" spans="2:143" x14ac:dyDescent="0.25">
      <c r="B39" s="203" t="s">
        <v>856</v>
      </c>
      <c r="C39" s="40"/>
      <c r="D39" s="41" t="s">
        <v>865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86">
        <v>10</v>
      </c>
      <c r="Q39" s="45">
        <v>3</v>
      </c>
      <c r="R39" s="45"/>
      <c r="S39" s="45"/>
      <c r="T39" s="45"/>
      <c r="U39" s="45">
        <v>2</v>
      </c>
      <c r="V39" s="45">
        <v>1</v>
      </c>
      <c r="W39" s="45">
        <v>1</v>
      </c>
      <c r="X39" s="45">
        <v>4</v>
      </c>
      <c r="Y39" s="45">
        <v>1</v>
      </c>
      <c r="Z39" s="49"/>
      <c r="AA39" s="86"/>
      <c r="AB39" s="45"/>
      <c r="AC39" s="49"/>
      <c r="AD39" s="86">
        <v>4</v>
      </c>
      <c r="AE39" s="45"/>
      <c r="AF39" s="45"/>
      <c r="AG39" s="45"/>
      <c r="AH39" s="45"/>
      <c r="AI39" s="49"/>
      <c r="AJ39" s="86">
        <v>1</v>
      </c>
      <c r="AK39" s="86">
        <v>6</v>
      </c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205"/>
      <c r="AY39" s="210">
        <v>3</v>
      </c>
      <c r="AZ39" s="40" t="s">
        <v>322</v>
      </c>
      <c r="BA39" s="43" t="s">
        <v>511</v>
      </c>
      <c r="BB39" s="43" t="s">
        <v>452</v>
      </c>
      <c r="BC39" s="296">
        <v>1.603</v>
      </c>
      <c r="BD39" s="296">
        <v>0.1603</v>
      </c>
      <c r="BE39" s="49">
        <v>1</v>
      </c>
      <c r="BF39" s="345">
        <v>5.2561440054238737</v>
      </c>
      <c r="BG39" s="346">
        <v>0.52561440054238739</v>
      </c>
      <c r="BH39" s="346">
        <v>3.2789419871639884</v>
      </c>
      <c r="BI39" s="410">
        <v>0</v>
      </c>
      <c r="BJ39" s="349">
        <v>2000.0000000000002</v>
      </c>
      <c r="BK39" s="350">
        <v>0.22366666666666662</v>
      </c>
      <c r="BL39" s="346">
        <v>7.3000000000000007</v>
      </c>
      <c r="BM39" s="347">
        <v>0.17095505000000003</v>
      </c>
      <c r="BN39" s="344">
        <v>2000.0000000000002</v>
      </c>
      <c r="BO39" s="196">
        <v>2120.0000000000005</v>
      </c>
      <c r="BP39" s="196">
        <v>2247.1999999999998</v>
      </c>
      <c r="BQ39" s="196">
        <v>2382.0320000000002</v>
      </c>
      <c r="BR39" s="196">
        <v>2524.9539199999995</v>
      </c>
      <c r="BS39" s="196">
        <v>2676.4511551999999</v>
      </c>
      <c r="BT39" s="196">
        <v>2837.0382245120009</v>
      </c>
      <c r="BU39" s="196">
        <v>3007.2605179827201</v>
      </c>
      <c r="BV39" s="196">
        <v>3187.6961490616836</v>
      </c>
      <c r="BW39" s="196">
        <v>3378.9579180053843</v>
      </c>
      <c r="BX39" s="196">
        <v>3581.6953930857071</v>
      </c>
      <c r="BY39" s="196">
        <v>3796.59711667085</v>
      </c>
      <c r="BZ39" s="196">
        <v>4024.3929436711001</v>
      </c>
      <c r="CA39" s="196">
        <v>4265.8565202913678</v>
      </c>
      <c r="CB39" s="196">
        <v>4521.8079115088494</v>
      </c>
      <c r="CC39" s="196">
        <v>4793.11638619938</v>
      </c>
      <c r="CD39" s="196">
        <v>5080.703369371342</v>
      </c>
      <c r="CE39" s="196">
        <v>5385.5455715336238</v>
      </c>
      <c r="CF39" s="196">
        <v>5708.6783058256406</v>
      </c>
      <c r="CG39" s="205">
        <v>6051.1990041751797</v>
      </c>
      <c r="CH39" s="318">
        <v>1.8</v>
      </c>
      <c r="CI39" s="319">
        <v>1.845</v>
      </c>
      <c r="CJ39" s="319">
        <v>1.8911249999999999</v>
      </c>
      <c r="CK39" s="319">
        <v>1.938403125</v>
      </c>
      <c r="CL39" s="319">
        <v>1.986863203125</v>
      </c>
      <c r="CM39" s="319">
        <v>2.0365347832031251</v>
      </c>
      <c r="CN39" s="319">
        <v>2.0874481527832032</v>
      </c>
      <c r="CO39" s="319">
        <v>2.1396343566027833</v>
      </c>
      <c r="CP39" s="319">
        <v>2.5</v>
      </c>
      <c r="CQ39" s="319">
        <v>2.5625</v>
      </c>
      <c r="CR39" s="319">
        <v>2.6265624999999999</v>
      </c>
      <c r="CS39" s="319">
        <v>2.6922265624999997</v>
      </c>
      <c r="CT39" s="319">
        <v>2.7595322265624995</v>
      </c>
      <c r="CU39" s="319">
        <v>2.8285205322265621</v>
      </c>
      <c r="CV39" s="319">
        <v>2.8992335455322262</v>
      </c>
      <c r="CW39" s="319">
        <v>2.9717143841705318</v>
      </c>
      <c r="CX39" s="319">
        <v>2.5</v>
      </c>
      <c r="CY39" s="319">
        <v>2.5625</v>
      </c>
      <c r="CZ39" s="319">
        <v>2.6265624999999999</v>
      </c>
      <c r="DA39" s="320">
        <v>2.6922265624999997</v>
      </c>
      <c r="DB39" s="345">
        <v>-1.04425197765037</v>
      </c>
      <c r="DC39" s="346">
        <v>0.46424243258383857</v>
      </c>
      <c r="DD39" s="346">
        <v>0.51983918607771118</v>
      </c>
      <c r="DE39" s="346">
        <v>0.58194175029641482</v>
      </c>
      <c r="DF39" s="346">
        <v>0.46657074831255407</v>
      </c>
      <c r="DG39" s="346">
        <v>0.72875274885686814</v>
      </c>
      <c r="DH39" s="346">
        <v>0.81523003469786026</v>
      </c>
      <c r="DI39" s="346">
        <v>0.91177144443777625</v>
      </c>
      <c r="DJ39" s="346">
        <v>0.4036564881759217</v>
      </c>
      <c r="DK39" s="346">
        <v>4.5285335993784592</v>
      </c>
      <c r="DL39" s="346">
        <v>-2.2472577752526313E-2</v>
      </c>
      <c r="DM39" s="346">
        <v>-2.5667201692398223E-2</v>
      </c>
      <c r="DN39" s="346">
        <v>-0.21400572035681087</v>
      </c>
      <c r="DO39" s="346">
        <v>0.15138100716946745</v>
      </c>
      <c r="DP39" s="346">
        <v>-3.7943918116640774E-2</v>
      </c>
      <c r="DQ39" s="346">
        <v>-4.3124135684635689E-2</v>
      </c>
      <c r="DR39" s="346">
        <v>-0.61253063201194635</v>
      </c>
      <c r="DS39" s="346">
        <v>0.60086720981294839</v>
      </c>
      <c r="DT39" s="346">
        <v>-4.8716789249816372E-3</v>
      </c>
      <c r="DU39" s="347">
        <v>-5.5354940076863812E-3</v>
      </c>
      <c r="DV39" s="351">
        <v>7</v>
      </c>
      <c r="DW39" s="196">
        <v>2</v>
      </c>
      <c r="DX39" s="210">
        <v>8</v>
      </c>
      <c r="DY39" s="196">
        <v>4</v>
      </c>
      <c r="DZ39" s="196">
        <v>15</v>
      </c>
      <c r="EA39" s="196">
        <v>0</v>
      </c>
      <c r="EB39" s="196">
        <v>0</v>
      </c>
      <c r="EC39" s="196">
        <v>595.33333333333337</v>
      </c>
      <c r="ED39" s="196">
        <v>545</v>
      </c>
      <c r="EE39" s="196">
        <v>0</v>
      </c>
      <c r="EF39" s="196">
        <v>133.66666666666666</v>
      </c>
      <c r="EG39" s="196">
        <v>156.33333333333331</v>
      </c>
      <c r="EH39" s="196">
        <v>68.333333333333329</v>
      </c>
      <c r="EI39" s="196">
        <v>89</v>
      </c>
      <c r="EJ39" s="196">
        <v>301</v>
      </c>
      <c r="EK39" s="196">
        <v>55.666666666666671</v>
      </c>
      <c r="EL39" s="196">
        <v>55.666666666666671</v>
      </c>
      <c r="EM39" s="205">
        <v>2000.0000000000002</v>
      </c>
    </row>
    <row r="40" spans="2:143" x14ac:dyDescent="0.25">
      <c r="B40" s="203" t="s">
        <v>857</v>
      </c>
      <c r="C40" s="40"/>
      <c r="D40" s="41" t="s">
        <v>867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86">
        <v>10</v>
      </c>
      <c r="Q40" s="45">
        <v>3</v>
      </c>
      <c r="R40" s="45"/>
      <c r="S40" s="45"/>
      <c r="T40" s="45"/>
      <c r="U40" s="45">
        <v>2</v>
      </c>
      <c r="V40" s="45">
        <v>1</v>
      </c>
      <c r="W40" s="45">
        <v>1</v>
      </c>
      <c r="X40" s="45">
        <v>4</v>
      </c>
      <c r="Y40" s="45">
        <v>1</v>
      </c>
      <c r="Z40" s="49"/>
      <c r="AA40" s="86"/>
      <c r="AB40" s="45"/>
      <c r="AC40" s="49"/>
      <c r="AD40" s="86">
        <v>5</v>
      </c>
      <c r="AE40" s="45"/>
      <c r="AF40" s="45"/>
      <c r="AG40" s="45"/>
      <c r="AH40" s="45"/>
      <c r="AI40" s="49"/>
      <c r="AJ40" s="86">
        <v>1</v>
      </c>
      <c r="AK40" s="86">
        <v>6</v>
      </c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205"/>
      <c r="AY40" s="210">
        <v>3</v>
      </c>
      <c r="AZ40" s="40" t="s">
        <v>322</v>
      </c>
      <c r="BA40" s="43" t="s">
        <v>515</v>
      </c>
      <c r="BB40" s="43" t="s">
        <v>455</v>
      </c>
      <c r="BC40" s="296">
        <v>4.9980000000000002</v>
      </c>
      <c r="BD40" s="296">
        <v>0.49980000000000002</v>
      </c>
      <c r="BE40" s="49">
        <v>2</v>
      </c>
      <c r="BF40" s="345">
        <v>8.0770882091518157</v>
      </c>
      <c r="BG40" s="346">
        <v>0.80770882091518159</v>
      </c>
      <c r="BH40" s="346">
        <v>1.6160640674573461</v>
      </c>
      <c r="BI40" s="410">
        <v>0</v>
      </c>
      <c r="BJ40" s="349">
        <v>2000.0000000000002</v>
      </c>
      <c r="BK40" s="350">
        <v>0.22366666666666662</v>
      </c>
      <c r="BL40" s="346">
        <v>7.3000000000000007</v>
      </c>
      <c r="BM40" s="347">
        <v>0.17095505000000003</v>
      </c>
      <c r="BN40" s="344">
        <v>2000.0000000000002</v>
      </c>
      <c r="BO40" s="196">
        <v>2120.0000000000005</v>
      </c>
      <c r="BP40" s="196">
        <v>2247.1999999999998</v>
      </c>
      <c r="BQ40" s="196">
        <v>2382.0320000000002</v>
      </c>
      <c r="BR40" s="196">
        <v>2524.9539199999995</v>
      </c>
      <c r="BS40" s="196">
        <v>2676.4511551999999</v>
      </c>
      <c r="BT40" s="196">
        <v>2837.0382245120009</v>
      </c>
      <c r="BU40" s="196">
        <v>3007.2605179827201</v>
      </c>
      <c r="BV40" s="196">
        <v>3187.6961490616836</v>
      </c>
      <c r="BW40" s="196">
        <v>3378.9579180053843</v>
      </c>
      <c r="BX40" s="196">
        <v>3581.6953930857071</v>
      </c>
      <c r="BY40" s="196">
        <v>3796.59711667085</v>
      </c>
      <c r="BZ40" s="196">
        <v>4024.3929436711001</v>
      </c>
      <c r="CA40" s="196">
        <v>4265.8565202913678</v>
      </c>
      <c r="CB40" s="196">
        <v>4521.8079115088494</v>
      </c>
      <c r="CC40" s="196">
        <v>4793.11638619938</v>
      </c>
      <c r="CD40" s="196">
        <v>5080.703369371342</v>
      </c>
      <c r="CE40" s="196">
        <v>5385.5455715336238</v>
      </c>
      <c r="CF40" s="196">
        <v>5708.6783058256406</v>
      </c>
      <c r="CG40" s="205">
        <v>6051.1990041751797</v>
      </c>
      <c r="CH40" s="318">
        <v>12</v>
      </c>
      <c r="CI40" s="319">
        <v>2</v>
      </c>
      <c r="CJ40" s="319">
        <v>2.0499999999999998</v>
      </c>
      <c r="CK40" s="319">
        <v>2.1012499999999998</v>
      </c>
      <c r="CL40" s="319">
        <v>2.1537812499999998</v>
      </c>
      <c r="CM40" s="319">
        <v>2.20762578125</v>
      </c>
      <c r="CN40" s="319">
        <v>2.2628164257812502</v>
      </c>
      <c r="CO40" s="319">
        <v>2.3193868364257813</v>
      </c>
      <c r="CP40" s="319">
        <v>2.3773715073364259</v>
      </c>
      <c r="CQ40" s="319">
        <v>2.5</v>
      </c>
      <c r="CR40" s="319">
        <v>2.5625</v>
      </c>
      <c r="CS40" s="319">
        <v>2.6265624999999999</v>
      </c>
      <c r="CT40" s="319">
        <v>2.6922265624999997</v>
      </c>
      <c r="CU40" s="319">
        <v>2.7595322265624995</v>
      </c>
      <c r="CV40" s="319">
        <v>2.8285205322265621</v>
      </c>
      <c r="CW40" s="319">
        <v>2.8992335455322262</v>
      </c>
      <c r="CX40" s="319">
        <v>2.9717143841705318</v>
      </c>
      <c r="CY40" s="319">
        <v>2.5</v>
      </c>
      <c r="CZ40" s="319">
        <v>2.5625</v>
      </c>
      <c r="DA40" s="320">
        <v>2.6265624999999999</v>
      </c>
      <c r="DB40" s="345">
        <v>0</v>
      </c>
      <c r="DC40" s="346">
        <v>-3.418027528045287</v>
      </c>
      <c r="DD40" s="346">
        <v>1.2617738145294646</v>
      </c>
      <c r="DE40" s="346">
        <v>1.4083901140712722</v>
      </c>
      <c r="DF40" s="346">
        <v>1.5716219479356335</v>
      </c>
      <c r="DG40" s="346">
        <v>1.5684994958529597</v>
      </c>
      <c r="DH40" s="346">
        <v>1.9551092498093769</v>
      </c>
      <c r="DI40" s="346">
        <v>2.1792831151522902</v>
      </c>
      <c r="DJ40" s="346">
        <v>2.4278768196030809</v>
      </c>
      <c r="DK40" s="346">
        <v>3.9260706749256808</v>
      </c>
      <c r="DL40" s="346">
        <v>-1.9416026125789188E-2</v>
      </c>
      <c r="DM40" s="346">
        <v>-2.2194164270488592E-2</v>
      </c>
      <c r="DN40" s="346">
        <v>-2.5333476077246786E-2</v>
      </c>
      <c r="DO40" s="346">
        <v>-2.8878436225809878E-2</v>
      </c>
      <c r="DP40" s="346">
        <v>-3.2878808612760047E-2</v>
      </c>
      <c r="DQ40" s="346">
        <v>-3.7390260433226352E-2</v>
      </c>
      <c r="DR40" s="346">
        <v>-4.2475046346856615E-2</v>
      </c>
      <c r="DS40" s="346">
        <v>0</v>
      </c>
      <c r="DT40" s="346">
        <v>0</v>
      </c>
      <c r="DU40" s="347">
        <v>0</v>
      </c>
      <c r="DV40" s="351">
        <v>7</v>
      </c>
      <c r="DW40" s="196">
        <v>2</v>
      </c>
      <c r="DX40" s="210">
        <v>12</v>
      </c>
      <c r="DY40" s="196">
        <v>4</v>
      </c>
      <c r="DZ40" s="196">
        <v>20</v>
      </c>
      <c r="EA40" s="196">
        <v>0</v>
      </c>
      <c r="EB40" s="196">
        <v>0</v>
      </c>
      <c r="EC40" s="196">
        <v>595.33333333333337</v>
      </c>
      <c r="ED40" s="196">
        <v>545</v>
      </c>
      <c r="EE40" s="196">
        <v>0</v>
      </c>
      <c r="EF40" s="196">
        <v>133.66666666666666</v>
      </c>
      <c r="EG40" s="196">
        <v>156.33333333333331</v>
      </c>
      <c r="EH40" s="196">
        <v>68.333333333333329</v>
      </c>
      <c r="EI40" s="196">
        <v>89</v>
      </c>
      <c r="EJ40" s="196">
        <v>301</v>
      </c>
      <c r="EK40" s="196">
        <v>55.666666666666671</v>
      </c>
      <c r="EL40" s="196">
        <v>55.666666666666671</v>
      </c>
      <c r="EM40" s="205">
        <v>2000.0000000000002</v>
      </c>
    </row>
    <row r="41" spans="2:143" x14ac:dyDescent="0.25">
      <c r="B41" s="203"/>
      <c r="C41" s="40"/>
      <c r="D41" s="41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86"/>
      <c r="Q41" s="45"/>
      <c r="R41" s="45"/>
      <c r="S41" s="45"/>
      <c r="T41" s="45"/>
      <c r="U41" s="45"/>
      <c r="V41" s="45"/>
      <c r="W41" s="45"/>
      <c r="X41" s="45"/>
      <c r="Y41" s="45"/>
      <c r="Z41" s="49"/>
      <c r="AA41" s="86"/>
      <c r="AB41" s="45"/>
      <c r="AC41" s="49"/>
      <c r="AD41" s="86"/>
      <c r="AE41" s="45"/>
      <c r="AF41" s="45"/>
      <c r="AG41" s="45"/>
      <c r="AH41" s="45"/>
      <c r="AI41" s="49"/>
      <c r="AJ41" s="86"/>
      <c r="AK41" s="8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205"/>
      <c r="AY41" s="210"/>
      <c r="AZ41" s="40"/>
      <c r="BA41" s="43"/>
      <c r="BB41" s="43"/>
      <c r="BC41" s="296"/>
      <c r="BD41" s="296"/>
      <c r="BE41" s="49"/>
      <c r="BF41" s="345"/>
      <c r="BG41" s="346"/>
      <c r="BH41" s="346"/>
      <c r="BI41" s="410"/>
      <c r="BJ41" s="349"/>
      <c r="BK41" s="350"/>
      <c r="BL41" s="346"/>
      <c r="BM41" s="347"/>
      <c r="BN41" s="344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205"/>
      <c r="CH41" s="318"/>
      <c r="CI41" s="319"/>
      <c r="CJ41" s="319"/>
      <c r="CK41" s="319"/>
      <c r="CL41" s="319"/>
      <c r="CM41" s="319"/>
      <c r="CN41" s="319"/>
      <c r="CO41" s="319"/>
      <c r="CP41" s="319"/>
      <c r="CQ41" s="319"/>
      <c r="CR41" s="319"/>
      <c r="CS41" s="319"/>
      <c r="CT41" s="319"/>
      <c r="CU41" s="319"/>
      <c r="CV41" s="319"/>
      <c r="CW41" s="319"/>
      <c r="CX41" s="319"/>
      <c r="CY41" s="319"/>
      <c r="CZ41" s="319"/>
      <c r="DA41" s="320"/>
      <c r="DB41" s="345"/>
      <c r="DC41" s="346"/>
      <c r="DD41" s="346"/>
      <c r="DE41" s="346"/>
      <c r="DF41" s="346"/>
      <c r="DG41" s="346"/>
      <c r="DH41" s="346"/>
      <c r="DI41" s="346"/>
      <c r="DJ41" s="346"/>
      <c r="DK41" s="346"/>
      <c r="DL41" s="346"/>
      <c r="DM41" s="346"/>
      <c r="DN41" s="346"/>
      <c r="DO41" s="346"/>
      <c r="DP41" s="346"/>
      <c r="DQ41" s="346"/>
      <c r="DR41" s="346"/>
      <c r="DS41" s="346"/>
      <c r="DT41" s="346"/>
      <c r="DU41" s="347"/>
      <c r="DV41" s="351"/>
      <c r="DW41" s="196"/>
      <c r="DX41" s="210"/>
      <c r="DY41" s="196"/>
      <c r="DZ41" s="196"/>
      <c r="EA41" s="196"/>
      <c r="EB41" s="196"/>
      <c r="EC41" s="196"/>
      <c r="ED41" s="196"/>
      <c r="EE41" s="196"/>
      <c r="EF41" s="196"/>
      <c r="EG41" s="196"/>
      <c r="EH41" s="196"/>
      <c r="EI41" s="196"/>
      <c r="EJ41" s="196"/>
      <c r="EK41" s="196"/>
      <c r="EL41" s="196"/>
      <c r="EM41" s="205"/>
    </row>
    <row r="42" spans="2:143" x14ac:dyDescent="0.25">
      <c r="B42" s="203"/>
      <c r="C42" s="40"/>
      <c r="D42" s="41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86"/>
      <c r="Q42" s="45"/>
      <c r="R42" s="45"/>
      <c r="S42" s="45"/>
      <c r="T42" s="45"/>
      <c r="U42" s="45"/>
      <c r="V42" s="45"/>
      <c r="W42" s="45"/>
      <c r="X42" s="45"/>
      <c r="Y42" s="45"/>
      <c r="Z42" s="49"/>
      <c r="AA42" s="86"/>
      <c r="AB42" s="45"/>
      <c r="AC42" s="49"/>
      <c r="AD42" s="86"/>
      <c r="AE42" s="45"/>
      <c r="AF42" s="45"/>
      <c r="AG42" s="45"/>
      <c r="AH42" s="45"/>
      <c r="AI42" s="49"/>
      <c r="AJ42" s="45"/>
      <c r="AK42" s="8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205"/>
      <c r="AY42" s="196"/>
      <c r="AZ42" s="40"/>
      <c r="BA42" s="43"/>
      <c r="BB42" s="43"/>
      <c r="BC42" s="296"/>
      <c r="BD42" s="296"/>
      <c r="BE42" s="49"/>
      <c r="BF42" s="345"/>
      <c r="BG42" s="346"/>
      <c r="BH42" s="346"/>
      <c r="BI42" s="302"/>
      <c r="BJ42" s="352"/>
      <c r="BK42" s="350"/>
      <c r="BL42" s="346"/>
      <c r="BM42" s="347"/>
      <c r="BN42" s="318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19"/>
      <c r="CB42" s="319"/>
      <c r="CC42" s="319"/>
      <c r="CD42" s="319"/>
      <c r="CE42" s="319"/>
      <c r="CF42" s="319"/>
      <c r="CG42" s="320"/>
      <c r="CH42" s="318"/>
      <c r="CI42" s="319"/>
      <c r="CJ42" s="319"/>
      <c r="CK42" s="319"/>
      <c r="CL42" s="319"/>
      <c r="CM42" s="319"/>
      <c r="CN42" s="319"/>
      <c r="CO42" s="319"/>
      <c r="CP42" s="319"/>
      <c r="CQ42" s="319"/>
      <c r="CR42" s="319"/>
      <c r="CS42" s="319"/>
      <c r="CT42" s="319"/>
      <c r="CU42" s="319"/>
      <c r="CV42" s="319"/>
      <c r="CW42" s="319"/>
      <c r="CX42" s="319"/>
      <c r="CY42" s="319"/>
      <c r="CZ42" s="319"/>
      <c r="DA42" s="320"/>
      <c r="DB42" s="318"/>
      <c r="DC42" s="319"/>
      <c r="DD42" s="319"/>
      <c r="DE42" s="319"/>
      <c r="DF42" s="319"/>
      <c r="DG42" s="319"/>
      <c r="DH42" s="319"/>
      <c r="DI42" s="319"/>
      <c r="DJ42" s="319"/>
      <c r="DK42" s="319"/>
      <c r="DL42" s="319"/>
      <c r="DM42" s="319"/>
      <c r="DN42" s="319"/>
      <c r="DO42" s="319"/>
      <c r="DP42" s="319"/>
      <c r="DQ42" s="319"/>
      <c r="DR42" s="319"/>
      <c r="DS42" s="319"/>
      <c r="DT42" s="319"/>
      <c r="DU42" s="320"/>
      <c r="DV42" s="319"/>
      <c r="DW42" s="196"/>
      <c r="DX42" s="210"/>
      <c r="DY42" s="196"/>
      <c r="DZ42" s="196"/>
      <c r="EA42" s="196"/>
      <c r="EB42" s="196"/>
      <c r="EC42" s="196"/>
      <c r="ED42" s="196"/>
      <c r="EE42" s="196"/>
      <c r="EF42" s="196"/>
      <c r="EG42" s="196"/>
      <c r="EH42" s="196"/>
      <c r="EI42" s="196"/>
      <c r="EJ42" s="196"/>
      <c r="EK42" s="196"/>
      <c r="EL42" s="196"/>
      <c r="EM42" s="205"/>
    </row>
    <row r="43" spans="2:143" x14ac:dyDescent="0.25">
      <c r="B43" s="203"/>
      <c r="C43" s="40"/>
      <c r="D43" s="41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86"/>
      <c r="Q43" s="45"/>
      <c r="R43" s="45"/>
      <c r="S43" s="45"/>
      <c r="T43" s="45"/>
      <c r="U43" s="45"/>
      <c r="V43" s="45"/>
      <c r="W43" s="45"/>
      <c r="X43" s="45"/>
      <c r="Y43" s="45"/>
      <c r="Z43" s="49"/>
      <c r="AA43" s="86"/>
      <c r="AB43" s="45"/>
      <c r="AC43" s="49"/>
      <c r="AD43" s="86"/>
      <c r="AE43" s="45"/>
      <c r="AF43" s="45"/>
      <c r="AG43" s="45"/>
      <c r="AH43" s="45"/>
      <c r="AI43" s="49"/>
      <c r="AJ43" s="45"/>
      <c r="AK43" s="8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205"/>
      <c r="AY43" s="196"/>
      <c r="AZ43" s="40"/>
      <c r="BA43" s="43"/>
      <c r="BB43" s="43"/>
      <c r="BC43" s="296"/>
      <c r="BD43" s="296"/>
      <c r="BE43" s="49"/>
      <c r="BF43" s="345"/>
      <c r="BG43" s="346"/>
      <c r="BH43" s="346"/>
      <c r="BI43" s="302"/>
      <c r="BJ43" s="352"/>
      <c r="BK43" s="350"/>
      <c r="BL43" s="346"/>
      <c r="BM43" s="347"/>
      <c r="BN43" s="318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19"/>
      <c r="CB43" s="319"/>
      <c r="CC43" s="319"/>
      <c r="CD43" s="319"/>
      <c r="CE43" s="319"/>
      <c r="CF43" s="319"/>
      <c r="CG43" s="320"/>
      <c r="CH43" s="318"/>
      <c r="CI43" s="319"/>
      <c r="CJ43" s="319"/>
      <c r="CK43" s="319"/>
      <c r="CL43" s="319"/>
      <c r="CM43" s="319"/>
      <c r="CN43" s="319"/>
      <c r="CO43" s="319"/>
      <c r="CP43" s="319"/>
      <c r="CQ43" s="319"/>
      <c r="CR43" s="319"/>
      <c r="CS43" s="319"/>
      <c r="CT43" s="319"/>
      <c r="CU43" s="319"/>
      <c r="CV43" s="319"/>
      <c r="CW43" s="319"/>
      <c r="CX43" s="319"/>
      <c r="CY43" s="319"/>
      <c r="CZ43" s="319"/>
      <c r="DA43" s="320"/>
      <c r="DB43" s="318"/>
      <c r="DC43" s="319"/>
      <c r="DD43" s="319"/>
      <c r="DE43" s="319"/>
      <c r="DF43" s="319"/>
      <c r="DG43" s="319"/>
      <c r="DH43" s="319"/>
      <c r="DI43" s="319"/>
      <c r="DJ43" s="319"/>
      <c r="DK43" s="319"/>
      <c r="DL43" s="319"/>
      <c r="DM43" s="319"/>
      <c r="DN43" s="319"/>
      <c r="DO43" s="319"/>
      <c r="DP43" s="319"/>
      <c r="DQ43" s="319"/>
      <c r="DR43" s="319"/>
      <c r="DS43" s="319"/>
      <c r="DT43" s="319"/>
      <c r="DU43" s="320"/>
      <c r="DV43" s="319"/>
      <c r="DW43" s="196"/>
      <c r="DX43" s="210"/>
      <c r="DY43" s="196"/>
      <c r="DZ43" s="196"/>
      <c r="EA43" s="196"/>
      <c r="EB43" s="196"/>
      <c r="EC43" s="196"/>
      <c r="ED43" s="196"/>
      <c r="EE43" s="196"/>
      <c r="EF43" s="196"/>
      <c r="EG43" s="196"/>
      <c r="EH43" s="196"/>
      <c r="EI43" s="196"/>
      <c r="EJ43" s="196"/>
      <c r="EK43" s="196"/>
      <c r="EL43" s="196"/>
      <c r="EM43" s="205"/>
    </row>
    <row r="44" spans="2:143" x14ac:dyDescent="0.25">
      <c r="B44" s="203"/>
      <c r="C44" s="40"/>
      <c r="D44" s="41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86"/>
      <c r="Q44" s="45"/>
      <c r="R44" s="45"/>
      <c r="S44" s="45"/>
      <c r="T44" s="45"/>
      <c r="U44" s="45"/>
      <c r="V44" s="45"/>
      <c r="W44" s="45"/>
      <c r="X44" s="45"/>
      <c r="Y44" s="45"/>
      <c r="Z44" s="49"/>
      <c r="AA44" s="86"/>
      <c r="AB44" s="45"/>
      <c r="AC44" s="49"/>
      <c r="AD44" s="86"/>
      <c r="AE44" s="45"/>
      <c r="AF44" s="45"/>
      <c r="AG44" s="45"/>
      <c r="AH44" s="45"/>
      <c r="AI44" s="49"/>
      <c r="AJ44" s="45"/>
      <c r="AK44" s="86"/>
      <c r="AL44" s="196"/>
      <c r="AM44" s="196"/>
      <c r="AN44" s="196"/>
      <c r="AO44" s="196"/>
      <c r="AP44" s="196"/>
      <c r="AQ44" s="196"/>
      <c r="AR44" s="196"/>
      <c r="AS44" s="196"/>
      <c r="AT44" s="196"/>
      <c r="AU44" s="196"/>
      <c r="AV44" s="196"/>
      <c r="AW44" s="196"/>
      <c r="AX44" s="205"/>
      <c r="AY44" s="196"/>
      <c r="AZ44" s="40"/>
      <c r="BA44" s="43"/>
      <c r="BB44" s="43"/>
      <c r="BC44" s="296"/>
      <c r="BD44" s="296"/>
      <c r="BE44" s="49"/>
      <c r="BF44" s="345"/>
      <c r="BG44" s="346"/>
      <c r="BH44" s="346"/>
      <c r="BI44" s="302"/>
      <c r="BJ44" s="352"/>
      <c r="BK44" s="350"/>
      <c r="BL44" s="346"/>
      <c r="BM44" s="347"/>
      <c r="BN44" s="318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19"/>
      <c r="CB44" s="319"/>
      <c r="CC44" s="319"/>
      <c r="CD44" s="319"/>
      <c r="CE44" s="319"/>
      <c r="CF44" s="319"/>
      <c r="CG44" s="320"/>
      <c r="CH44" s="318"/>
      <c r="CI44" s="319"/>
      <c r="CJ44" s="319"/>
      <c r="CK44" s="319"/>
      <c r="CL44" s="319"/>
      <c r="CM44" s="319"/>
      <c r="CN44" s="319"/>
      <c r="CO44" s="319"/>
      <c r="CP44" s="319"/>
      <c r="CQ44" s="319"/>
      <c r="CR44" s="319"/>
      <c r="CS44" s="319"/>
      <c r="CT44" s="319"/>
      <c r="CU44" s="319"/>
      <c r="CV44" s="319"/>
      <c r="CW44" s="319"/>
      <c r="CX44" s="319"/>
      <c r="CY44" s="319"/>
      <c r="CZ44" s="319"/>
      <c r="DA44" s="320"/>
      <c r="DB44" s="318"/>
      <c r="DC44" s="319"/>
      <c r="DD44" s="319"/>
      <c r="DE44" s="319"/>
      <c r="DF44" s="319"/>
      <c r="DG44" s="319"/>
      <c r="DH44" s="319"/>
      <c r="DI44" s="319"/>
      <c r="DJ44" s="319"/>
      <c r="DK44" s="319"/>
      <c r="DL44" s="319"/>
      <c r="DM44" s="319"/>
      <c r="DN44" s="319"/>
      <c r="DO44" s="319"/>
      <c r="DP44" s="319"/>
      <c r="DQ44" s="319"/>
      <c r="DR44" s="319"/>
      <c r="DS44" s="319"/>
      <c r="DT44" s="319"/>
      <c r="DU44" s="320"/>
      <c r="DV44" s="319"/>
      <c r="DW44" s="196"/>
      <c r="DX44" s="210"/>
      <c r="DY44" s="196"/>
      <c r="DZ44" s="196"/>
      <c r="EA44" s="196"/>
      <c r="EB44" s="196"/>
      <c r="EC44" s="196"/>
      <c r="ED44" s="196"/>
      <c r="EE44" s="196"/>
      <c r="EF44" s="196"/>
      <c r="EG44" s="196"/>
      <c r="EH44" s="196"/>
      <c r="EI44" s="196"/>
      <c r="EJ44" s="196"/>
      <c r="EK44" s="196"/>
      <c r="EL44" s="196"/>
      <c r="EM44" s="205"/>
    </row>
    <row r="45" spans="2:143" x14ac:dyDescent="0.25">
      <c r="B45" s="203"/>
      <c r="C45" s="40"/>
      <c r="D45" s="41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86"/>
      <c r="Q45" s="45"/>
      <c r="R45" s="45"/>
      <c r="S45" s="45"/>
      <c r="T45" s="45"/>
      <c r="U45" s="45"/>
      <c r="V45" s="45"/>
      <c r="W45" s="45"/>
      <c r="X45" s="45"/>
      <c r="Y45" s="45"/>
      <c r="Z45" s="49"/>
      <c r="AA45" s="86"/>
      <c r="AB45" s="45"/>
      <c r="AC45" s="49"/>
      <c r="AD45" s="86"/>
      <c r="AE45" s="45"/>
      <c r="AF45" s="45"/>
      <c r="AG45" s="45"/>
      <c r="AH45" s="45"/>
      <c r="AI45" s="49"/>
      <c r="AJ45" s="45"/>
      <c r="AK45" s="86"/>
      <c r="AL45" s="196"/>
      <c r="AM45" s="196"/>
      <c r="AN45" s="196"/>
      <c r="AO45" s="196"/>
      <c r="AP45" s="196"/>
      <c r="AQ45" s="196"/>
      <c r="AR45" s="196"/>
      <c r="AS45" s="196"/>
      <c r="AT45" s="196"/>
      <c r="AU45" s="196"/>
      <c r="AV45" s="196"/>
      <c r="AW45" s="196"/>
      <c r="AX45" s="205"/>
      <c r="AY45" s="196"/>
      <c r="AZ45" s="40"/>
      <c r="BA45" s="43"/>
      <c r="BB45" s="43"/>
      <c r="BC45" s="296"/>
      <c r="BD45" s="296"/>
      <c r="BE45" s="49"/>
      <c r="BF45" s="345"/>
      <c r="BG45" s="346"/>
      <c r="BH45" s="346"/>
      <c r="BI45" s="302"/>
      <c r="BJ45" s="352"/>
      <c r="BK45" s="350"/>
      <c r="BL45" s="346"/>
      <c r="BM45" s="347"/>
      <c r="BN45" s="318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19"/>
      <c r="CB45" s="319"/>
      <c r="CC45" s="319"/>
      <c r="CD45" s="319"/>
      <c r="CE45" s="319"/>
      <c r="CF45" s="319"/>
      <c r="CG45" s="320"/>
      <c r="CH45" s="318"/>
      <c r="CI45" s="319"/>
      <c r="CJ45" s="319"/>
      <c r="CK45" s="319"/>
      <c r="CL45" s="319"/>
      <c r="CM45" s="319"/>
      <c r="CN45" s="319"/>
      <c r="CO45" s="319"/>
      <c r="CP45" s="319"/>
      <c r="CQ45" s="319"/>
      <c r="CR45" s="319"/>
      <c r="CS45" s="319"/>
      <c r="CT45" s="319"/>
      <c r="CU45" s="319"/>
      <c r="CV45" s="319"/>
      <c r="CW45" s="319"/>
      <c r="CX45" s="319"/>
      <c r="CY45" s="319"/>
      <c r="CZ45" s="319"/>
      <c r="DA45" s="320"/>
      <c r="DB45" s="318"/>
      <c r="DC45" s="319"/>
      <c r="DD45" s="319"/>
      <c r="DE45" s="319"/>
      <c r="DF45" s="319"/>
      <c r="DG45" s="319"/>
      <c r="DH45" s="319"/>
      <c r="DI45" s="319"/>
      <c r="DJ45" s="319"/>
      <c r="DK45" s="319"/>
      <c r="DL45" s="319"/>
      <c r="DM45" s="319"/>
      <c r="DN45" s="319"/>
      <c r="DO45" s="319"/>
      <c r="DP45" s="319"/>
      <c r="DQ45" s="319"/>
      <c r="DR45" s="319"/>
      <c r="DS45" s="319"/>
      <c r="DT45" s="319"/>
      <c r="DU45" s="320"/>
      <c r="DV45" s="319"/>
      <c r="DW45" s="196"/>
      <c r="DX45" s="210"/>
      <c r="DY45" s="196"/>
      <c r="DZ45" s="196"/>
      <c r="EA45" s="196"/>
      <c r="EB45" s="196"/>
      <c r="EC45" s="196"/>
      <c r="ED45" s="196"/>
      <c r="EE45" s="196"/>
      <c r="EF45" s="196"/>
      <c r="EG45" s="196"/>
      <c r="EH45" s="196"/>
      <c r="EI45" s="196"/>
      <c r="EJ45" s="196"/>
      <c r="EK45" s="196"/>
      <c r="EL45" s="196"/>
      <c r="EM45" s="205"/>
    </row>
    <row r="46" spans="2:143" x14ac:dyDescent="0.25">
      <c r="B46" s="203"/>
      <c r="C46" s="40"/>
      <c r="D46" s="41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86"/>
      <c r="Q46" s="45"/>
      <c r="R46" s="45"/>
      <c r="S46" s="45"/>
      <c r="T46" s="45"/>
      <c r="U46" s="45"/>
      <c r="V46" s="45"/>
      <c r="W46" s="45"/>
      <c r="X46" s="45"/>
      <c r="Y46" s="45"/>
      <c r="Z46" s="49"/>
      <c r="AA46" s="86"/>
      <c r="AB46" s="45"/>
      <c r="AC46" s="49"/>
      <c r="AD46" s="86"/>
      <c r="AE46" s="45"/>
      <c r="AF46" s="45"/>
      <c r="AG46" s="45"/>
      <c r="AH46" s="45"/>
      <c r="AI46" s="49"/>
      <c r="AJ46" s="45"/>
      <c r="AK46" s="86"/>
      <c r="AL46" s="196"/>
      <c r="AM46" s="196"/>
      <c r="AN46" s="196"/>
      <c r="AO46" s="196"/>
      <c r="AP46" s="196"/>
      <c r="AQ46" s="196"/>
      <c r="AR46" s="196"/>
      <c r="AS46" s="196"/>
      <c r="AT46" s="196"/>
      <c r="AU46" s="196"/>
      <c r="AV46" s="196"/>
      <c r="AW46" s="196"/>
      <c r="AX46" s="205"/>
      <c r="AY46" s="196"/>
      <c r="AZ46" s="40"/>
      <c r="BA46" s="43"/>
      <c r="BB46" s="43"/>
      <c r="BC46" s="296"/>
      <c r="BD46" s="296"/>
      <c r="BE46" s="49"/>
      <c r="BF46" s="345"/>
      <c r="BG46" s="346"/>
      <c r="BH46" s="346"/>
      <c r="BI46" s="302"/>
      <c r="BJ46" s="352"/>
      <c r="BK46" s="350"/>
      <c r="BL46" s="346"/>
      <c r="BM46" s="347"/>
      <c r="BN46" s="318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19"/>
      <c r="CB46" s="319"/>
      <c r="CC46" s="319"/>
      <c r="CD46" s="319"/>
      <c r="CE46" s="319"/>
      <c r="CF46" s="319"/>
      <c r="CG46" s="320"/>
      <c r="CH46" s="318"/>
      <c r="CI46" s="319"/>
      <c r="CJ46" s="319"/>
      <c r="CK46" s="319"/>
      <c r="CL46" s="319"/>
      <c r="CM46" s="319"/>
      <c r="CN46" s="319"/>
      <c r="CO46" s="319"/>
      <c r="CP46" s="319"/>
      <c r="CQ46" s="319"/>
      <c r="CR46" s="319"/>
      <c r="CS46" s="319"/>
      <c r="CT46" s="319"/>
      <c r="CU46" s="319"/>
      <c r="CV46" s="319"/>
      <c r="CW46" s="319"/>
      <c r="CX46" s="319"/>
      <c r="CY46" s="319"/>
      <c r="CZ46" s="319"/>
      <c r="DA46" s="320"/>
      <c r="DB46" s="318"/>
      <c r="DC46" s="319"/>
      <c r="DD46" s="319"/>
      <c r="DE46" s="319"/>
      <c r="DF46" s="319"/>
      <c r="DG46" s="319"/>
      <c r="DH46" s="319"/>
      <c r="DI46" s="319"/>
      <c r="DJ46" s="319"/>
      <c r="DK46" s="319"/>
      <c r="DL46" s="319"/>
      <c r="DM46" s="319"/>
      <c r="DN46" s="319"/>
      <c r="DO46" s="319"/>
      <c r="DP46" s="319"/>
      <c r="DQ46" s="319"/>
      <c r="DR46" s="319"/>
      <c r="DS46" s="319"/>
      <c r="DT46" s="319"/>
      <c r="DU46" s="320"/>
      <c r="DV46" s="319"/>
      <c r="DW46" s="196"/>
      <c r="DX46" s="210"/>
      <c r="DY46" s="196"/>
      <c r="DZ46" s="196"/>
      <c r="EA46" s="196"/>
      <c r="EB46" s="196"/>
      <c r="EC46" s="196"/>
      <c r="ED46" s="196"/>
      <c r="EE46" s="196"/>
      <c r="EF46" s="196"/>
      <c r="EG46" s="196"/>
      <c r="EH46" s="196"/>
      <c r="EI46" s="196"/>
      <c r="EJ46" s="196"/>
      <c r="EK46" s="196"/>
      <c r="EL46" s="196"/>
      <c r="EM46" s="205"/>
    </row>
    <row r="47" spans="2:143" x14ac:dyDescent="0.25">
      <c r="B47" s="203"/>
      <c r="C47" s="40"/>
      <c r="D47" s="41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86"/>
      <c r="Q47" s="45"/>
      <c r="R47" s="45"/>
      <c r="S47" s="45"/>
      <c r="T47" s="45"/>
      <c r="U47" s="45"/>
      <c r="V47" s="45"/>
      <c r="W47" s="45"/>
      <c r="X47" s="45"/>
      <c r="Y47" s="45"/>
      <c r="Z47" s="49"/>
      <c r="AA47" s="86"/>
      <c r="AB47" s="45"/>
      <c r="AC47" s="49"/>
      <c r="AD47" s="86"/>
      <c r="AE47" s="45"/>
      <c r="AF47" s="45"/>
      <c r="AG47" s="45"/>
      <c r="AH47" s="45"/>
      <c r="AI47" s="49"/>
      <c r="AJ47" s="45"/>
      <c r="AK47" s="86"/>
      <c r="AL47" s="196"/>
      <c r="AM47" s="196"/>
      <c r="AN47" s="196"/>
      <c r="AO47" s="196"/>
      <c r="AP47" s="196"/>
      <c r="AQ47" s="196"/>
      <c r="AR47" s="196"/>
      <c r="AS47" s="196"/>
      <c r="AT47" s="196"/>
      <c r="AU47" s="196"/>
      <c r="AV47" s="196"/>
      <c r="AW47" s="196"/>
      <c r="AX47" s="205"/>
      <c r="AY47" s="196"/>
      <c r="AZ47" s="40"/>
      <c r="BA47" s="43"/>
      <c r="BB47" s="43"/>
      <c r="BC47" s="296"/>
      <c r="BD47" s="296"/>
      <c r="BE47" s="49"/>
      <c r="BF47" s="345"/>
      <c r="BG47" s="346"/>
      <c r="BH47" s="346"/>
      <c r="BI47" s="302"/>
      <c r="BJ47" s="352"/>
      <c r="BK47" s="350"/>
      <c r="BL47" s="346"/>
      <c r="BM47" s="347"/>
      <c r="BN47" s="318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19"/>
      <c r="CB47" s="319"/>
      <c r="CC47" s="319"/>
      <c r="CD47" s="319"/>
      <c r="CE47" s="319"/>
      <c r="CF47" s="319"/>
      <c r="CG47" s="320"/>
      <c r="CH47" s="318"/>
      <c r="CI47" s="319"/>
      <c r="CJ47" s="319"/>
      <c r="CK47" s="319"/>
      <c r="CL47" s="319"/>
      <c r="CM47" s="319"/>
      <c r="CN47" s="319"/>
      <c r="CO47" s="319"/>
      <c r="CP47" s="319"/>
      <c r="CQ47" s="319"/>
      <c r="CR47" s="319"/>
      <c r="CS47" s="319"/>
      <c r="CT47" s="319"/>
      <c r="CU47" s="319"/>
      <c r="CV47" s="319"/>
      <c r="CW47" s="319"/>
      <c r="CX47" s="319"/>
      <c r="CY47" s="319"/>
      <c r="CZ47" s="319"/>
      <c r="DA47" s="320"/>
      <c r="DB47" s="318"/>
      <c r="DC47" s="319"/>
      <c r="DD47" s="319"/>
      <c r="DE47" s="319"/>
      <c r="DF47" s="319"/>
      <c r="DG47" s="319"/>
      <c r="DH47" s="319"/>
      <c r="DI47" s="319"/>
      <c r="DJ47" s="319"/>
      <c r="DK47" s="319"/>
      <c r="DL47" s="319"/>
      <c r="DM47" s="319"/>
      <c r="DN47" s="319"/>
      <c r="DO47" s="319"/>
      <c r="DP47" s="319"/>
      <c r="DQ47" s="319"/>
      <c r="DR47" s="319"/>
      <c r="DS47" s="319"/>
      <c r="DT47" s="319"/>
      <c r="DU47" s="320"/>
      <c r="DV47" s="319"/>
      <c r="DW47" s="196"/>
      <c r="DX47" s="210"/>
      <c r="DY47" s="196"/>
      <c r="DZ47" s="196"/>
      <c r="EA47" s="196"/>
      <c r="EB47" s="196"/>
      <c r="EC47" s="196"/>
      <c r="ED47" s="196"/>
      <c r="EE47" s="196"/>
      <c r="EF47" s="196"/>
      <c r="EG47" s="196"/>
      <c r="EH47" s="196"/>
      <c r="EI47" s="196"/>
      <c r="EJ47" s="196"/>
      <c r="EK47" s="196"/>
      <c r="EL47" s="196"/>
      <c r="EM47" s="205"/>
    </row>
    <row r="48" spans="2:143" x14ac:dyDescent="0.25">
      <c r="B48" s="203"/>
      <c r="C48" s="40"/>
      <c r="D48" s="41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86"/>
      <c r="Q48" s="45"/>
      <c r="R48" s="45"/>
      <c r="S48" s="45"/>
      <c r="T48" s="45"/>
      <c r="U48" s="45"/>
      <c r="V48" s="45"/>
      <c r="W48" s="45"/>
      <c r="X48" s="45"/>
      <c r="Y48" s="45"/>
      <c r="Z48" s="49"/>
      <c r="AA48" s="86"/>
      <c r="AB48" s="45"/>
      <c r="AC48" s="49"/>
      <c r="AD48" s="86"/>
      <c r="AE48" s="45"/>
      <c r="AF48" s="45"/>
      <c r="AG48" s="45"/>
      <c r="AH48" s="45"/>
      <c r="AI48" s="49"/>
      <c r="AJ48" s="45"/>
      <c r="AK48" s="86"/>
      <c r="AL48" s="196"/>
      <c r="AM48" s="196"/>
      <c r="AN48" s="196"/>
      <c r="AO48" s="196"/>
      <c r="AP48" s="196"/>
      <c r="AQ48" s="196"/>
      <c r="AR48" s="196"/>
      <c r="AS48" s="196"/>
      <c r="AT48" s="196"/>
      <c r="AU48" s="196"/>
      <c r="AV48" s="196"/>
      <c r="AW48" s="196"/>
      <c r="AX48" s="205"/>
      <c r="AY48" s="196"/>
      <c r="AZ48" s="40"/>
      <c r="BA48" s="43"/>
      <c r="BB48" s="43"/>
      <c r="BC48" s="296"/>
      <c r="BD48" s="296"/>
      <c r="BE48" s="49"/>
      <c r="BF48" s="345"/>
      <c r="BG48" s="346"/>
      <c r="BH48" s="346"/>
      <c r="BI48" s="302"/>
      <c r="BJ48" s="352"/>
      <c r="BK48" s="350"/>
      <c r="BL48" s="346"/>
      <c r="BM48" s="347"/>
      <c r="BN48" s="318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19"/>
      <c r="CB48" s="319"/>
      <c r="CC48" s="319"/>
      <c r="CD48" s="319"/>
      <c r="CE48" s="319"/>
      <c r="CF48" s="319"/>
      <c r="CG48" s="320"/>
      <c r="CH48" s="318"/>
      <c r="CI48" s="319"/>
      <c r="CJ48" s="319"/>
      <c r="CK48" s="319"/>
      <c r="CL48" s="319"/>
      <c r="CM48" s="319"/>
      <c r="CN48" s="319"/>
      <c r="CO48" s="319"/>
      <c r="CP48" s="319"/>
      <c r="CQ48" s="319"/>
      <c r="CR48" s="319"/>
      <c r="CS48" s="319"/>
      <c r="CT48" s="319"/>
      <c r="CU48" s="319"/>
      <c r="CV48" s="319"/>
      <c r="CW48" s="319"/>
      <c r="CX48" s="319"/>
      <c r="CY48" s="319"/>
      <c r="CZ48" s="319"/>
      <c r="DA48" s="320"/>
      <c r="DB48" s="318"/>
      <c r="DC48" s="319"/>
      <c r="DD48" s="319"/>
      <c r="DE48" s="319"/>
      <c r="DF48" s="319"/>
      <c r="DG48" s="319"/>
      <c r="DH48" s="319"/>
      <c r="DI48" s="319"/>
      <c r="DJ48" s="319"/>
      <c r="DK48" s="319"/>
      <c r="DL48" s="319"/>
      <c r="DM48" s="319"/>
      <c r="DN48" s="319"/>
      <c r="DO48" s="319"/>
      <c r="DP48" s="319"/>
      <c r="DQ48" s="319"/>
      <c r="DR48" s="319"/>
      <c r="DS48" s="319"/>
      <c r="DT48" s="319"/>
      <c r="DU48" s="320"/>
      <c r="DV48" s="319"/>
      <c r="DW48" s="196"/>
      <c r="DX48" s="210"/>
      <c r="DY48" s="196"/>
      <c r="DZ48" s="196"/>
      <c r="EA48" s="196"/>
      <c r="EB48" s="196"/>
      <c r="EC48" s="196"/>
      <c r="ED48" s="196"/>
      <c r="EE48" s="196"/>
      <c r="EF48" s="196"/>
      <c r="EG48" s="196"/>
      <c r="EH48" s="196"/>
      <c r="EI48" s="196"/>
      <c r="EJ48" s="196"/>
      <c r="EK48" s="196"/>
      <c r="EL48" s="196"/>
      <c r="EM48" s="205"/>
    </row>
    <row r="49" spans="2:143" x14ac:dyDescent="0.25">
      <c r="B49" s="203"/>
      <c r="C49" s="40"/>
      <c r="D49" s="41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86"/>
      <c r="Q49" s="45"/>
      <c r="R49" s="45"/>
      <c r="S49" s="45"/>
      <c r="T49" s="45"/>
      <c r="U49" s="45"/>
      <c r="V49" s="45"/>
      <c r="W49" s="45"/>
      <c r="X49" s="45"/>
      <c r="Y49" s="45"/>
      <c r="Z49" s="49"/>
      <c r="AA49" s="86"/>
      <c r="AB49" s="45"/>
      <c r="AC49" s="49"/>
      <c r="AD49" s="86"/>
      <c r="AE49" s="45"/>
      <c r="AF49" s="45"/>
      <c r="AG49" s="45"/>
      <c r="AH49" s="45"/>
      <c r="AI49" s="49"/>
      <c r="AJ49" s="45"/>
      <c r="AK49" s="86"/>
      <c r="AL49" s="196"/>
      <c r="AM49" s="196"/>
      <c r="AN49" s="196"/>
      <c r="AO49" s="196"/>
      <c r="AP49" s="196"/>
      <c r="AQ49" s="196"/>
      <c r="AR49" s="196"/>
      <c r="AS49" s="196"/>
      <c r="AT49" s="196"/>
      <c r="AU49" s="196"/>
      <c r="AV49" s="196"/>
      <c r="AW49" s="196"/>
      <c r="AX49" s="205"/>
      <c r="AY49" s="196"/>
      <c r="AZ49" s="40"/>
      <c r="BA49" s="43"/>
      <c r="BB49" s="43"/>
      <c r="BC49" s="296"/>
      <c r="BD49" s="296"/>
      <c r="BE49" s="49"/>
      <c r="BF49" s="345"/>
      <c r="BG49" s="346"/>
      <c r="BH49" s="346"/>
      <c r="BI49" s="302"/>
      <c r="BJ49" s="352"/>
      <c r="BK49" s="350"/>
      <c r="BL49" s="346"/>
      <c r="BM49" s="347"/>
      <c r="BN49" s="318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19"/>
      <c r="CB49" s="319"/>
      <c r="CC49" s="319"/>
      <c r="CD49" s="319"/>
      <c r="CE49" s="319"/>
      <c r="CF49" s="319"/>
      <c r="CG49" s="320"/>
      <c r="CH49" s="318"/>
      <c r="CI49" s="319"/>
      <c r="CJ49" s="319"/>
      <c r="CK49" s="319"/>
      <c r="CL49" s="319"/>
      <c r="CM49" s="319"/>
      <c r="CN49" s="319"/>
      <c r="CO49" s="319"/>
      <c r="CP49" s="319"/>
      <c r="CQ49" s="319"/>
      <c r="CR49" s="319"/>
      <c r="CS49" s="319"/>
      <c r="CT49" s="319"/>
      <c r="CU49" s="319"/>
      <c r="CV49" s="319"/>
      <c r="CW49" s="319"/>
      <c r="CX49" s="319"/>
      <c r="CY49" s="319"/>
      <c r="CZ49" s="319"/>
      <c r="DA49" s="320"/>
      <c r="DB49" s="318"/>
      <c r="DC49" s="319"/>
      <c r="DD49" s="319"/>
      <c r="DE49" s="319"/>
      <c r="DF49" s="319"/>
      <c r="DG49" s="319"/>
      <c r="DH49" s="319"/>
      <c r="DI49" s="319"/>
      <c r="DJ49" s="319"/>
      <c r="DK49" s="319"/>
      <c r="DL49" s="319"/>
      <c r="DM49" s="319"/>
      <c r="DN49" s="319"/>
      <c r="DO49" s="319"/>
      <c r="DP49" s="319"/>
      <c r="DQ49" s="319"/>
      <c r="DR49" s="319"/>
      <c r="DS49" s="319"/>
      <c r="DT49" s="319"/>
      <c r="DU49" s="320"/>
      <c r="DV49" s="319"/>
      <c r="DW49" s="196"/>
      <c r="DX49" s="210"/>
      <c r="DY49" s="196"/>
      <c r="DZ49" s="196"/>
      <c r="EA49" s="196"/>
      <c r="EB49" s="196"/>
      <c r="EC49" s="196"/>
      <c r="ED49" s="196"/>
      <c r="EE49" s="196"/>
      <c r="EF49" s="196"/>
      <c r="EG49" s="196"/>
      <c r="EH49" s="196"/>
      <c r="EI49" s="196"/>
      <c r="EJ49" s="196"/>
      <c r="EK49" s="196"/>
      <c r="EL49" s="196"/>
      <c r="EM49" s="205"/>
    </row>
    <row r="50" spans="2:143" x14ac:dyDescent="0.25">
      <c r="B50" s="203"/>
      <c r="C50" s="40"/>
      <c r="D50" s="41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86"/>
      <c r="Q50" s="45"/>
      <c r="R50" s="45"/>
      <c r="S50" s="45"/>
      <c r="T50" s="45"/>
      <c r="U50" s="45"/>
      <c r="V50" s="45"/>
      <c r="W50" s="45"/>
      <c r="X50" s="45"/>
      <c r="Y50" s="45"/>
      <c r="Z50" s="49"/>
      <c r="AA50" s="86"/>
      <c r="AB50" s="45"/>
      <c r="AC50" s="49"/>
      <c r="AD50" s="86"/>
      <c r="AE50" s="45"/>
      <c r="AF50" s="45"/>
      <c r="AG50" s="45"/>
      <c r="AH50" s="45"/>
      <c r="AI50" s="49"/>
      <c r="AJ50" s="45"/>
      <c r="AK50" s="86"/>
      <c r="AL50" s="196"/>
      <c r="AM50" s="196"/>
      <c r="AN50" s="196"/>
      <c r="AO50" s="196"/>
      <c r="AP50" s="196"/>
      <c r="AQ50" s="196"/>
      <c r="AR50" s="196"/>
      <c r="AS50" s="196"/>
      <c r="AT50" s="196"/>
      <c r="AU50" s="196"/>
      <c r="AV50" s="196"/>
      <c r="AW50" s="196"/>
      <c r="AX50" s="205"/>
      <c r="AY50" s="196"/>
      <c r="AZ50" s="40"/>
      <c r="BA50" s="43"/>
      <c r="BB50" s="43"/>
      <c r="BC50" s="296"/>
      <c r="BD50" s="296"/>
      <c r="BE50" s="49"/>
      <c r="BF50" s="345"/>
      <c r="BG50" s="346"/>
      <c r="BH50" s="346"/>
      <c r="BI50" s="302"/>
      <c r="BJ50" s="352"/>
      <c r="BK50" s="350"/>
      <c r="BL50" s="346"/>
      <c r="BM50" s="347"/>
      <c r="BN50" s="318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19"/>
      <c r="CB50" s="319"/>
      <c r="CC50" s="319"/>
      <c r="CD50" s="319"/>
      <c r="CE50" s="319"/>
      <c r="CF50" s="319"/>
      <c r="CG50" s="320"/>
      <c r="CH50" s="318"/>
      <c r="CI50" s="319"/>
      <c r="CJ50" s="319"/>
      <c r="CK50" s="319"/>
      <c r="CL50" s="319"/>
      <c r="CM50" s="319"/>
      <c r="CN50" s="319"/>
      <c r="CO50" s="319"/>
      <c r="CP50" s="319"/>
      <c r="CQ50" s="319"/>
      <c r="CR50" s="319"/>
      <c r="CS50" s="319"/>
      <c r="CT50" s="319"/>
      <c r="CU50" s="319"/>
      <c r="CV50" s="319"/>
      <c r="CW50" s="319"/>
      <c r="CX50" s="319"/>
      <c r="CY50" s="319"/>
      <c r="CZ50" s="319"/>
      <c r="DA50" s="320"/>
      <c r="DB50" s="318"/>
      <c r="DC50" s="319"/>
      <c r="DD50" s="319"/>
      <c r="DE50" s="319"/>
      <c r="DF50" s="319"/>
      <c r="DG50" s="319"/>
      <c r="DH50" s="319"/>
      <c r="DI50" s="319"/>
      <c r="DJ50" s="319"/>
      <c r="DK50" s="319"/>
      <c r="DL50" s="319"/>
      <c r="DM50" s="319"/>
      <c r="DN50" s="319"/>
      <c r="DO50" s="319"/>
      <c r="DP50" s="319"/>
      <c r="DQ50" s="319"/>
      <c r="DR50" s="319"/>
      <c r="DS50" s="319"/>
      <c r="DT50" s="319"/>
      <c r="DU50" s="320"/>
      <c r="DV50" s="319"/>
      <c r="DW50" s="196"/>
      <c r="DX50" s="210"/>
      <c r="DY50" s="196"/>
      <c r="DZ50" s="196"/>
      <c r="EA50" s="196"/>
      <c r="EB50" s="196"/>
      <c r="EC50" s="196"/>
      <c r="ED50" s="196"/>
      <c r="EE50" s="196"/>
      <c r="EF50" s="196"/>
      <c r="EG50" s="196"/>
      <c r="EH50" s="196"/>
      <c r="EI50" s="196"/>
      <c r="EJ50" s="196"/>
      <c r="EK50" s="196"/>
      <c r="EL50" s="196"/>
      <c r="EM50" s="205"/>
    </row>
    <row r="51" spans="2:143" x14ac:dyDescent="0.25">
      <c r="B51" s="203"/>
      <c r="C51" s="40"/>
      <c r="D51" s="41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86"/>
      <c r="Q51" s="45"/>
      <c r="R51" s="45"/>
      <c r="S51" s="45"/>
      <c r="T51" s="45"/>
      <c r="U51" s="45"/>
      <c r="V51" s="45"/>
      <c r="W51" s="45"/>
      <c r="X51" s="45"/>
      <c r="Y51" s="45"/>
      <c r="Z51" s="49"/>
      <c r="AA51" s="86"/>
      <c r="AB51" s="45"/>
      <c r="AC51" s="49"/>
      <c r="AD51" s="86"/>
      <c r="AE51" s="45"/>
      <c r="AF51" s="45"/>
      <c r="AG51" s="45"/>
      <c r="AH51" s="45"/>
      <c r="AI51" s="49"/>
      <c r="AJ51" s="45"/>
      <c r="AK51" s="86"/>
      <c r="AL51" s="196"/>
      <c r="AM51" s="196"/>
      <c r="AN51" s="196"/>
      <c r="AO51" s="196"/>
      <c r="AP51" s="196"/>
      <c r="AQ51" s="196"/>
      <c r="AR51" s="196"/>
      <c r="AS51" s="196"/>
      <c r="AT51" s="196"/>
      <c r="AU51" s="196"/>
      <c r="AV51" s="196"/>
      <c r="AW51" s="196"/>
      <c r="AX51" s="205"/>
      <c r="AY51" s="196"/>
      <c r="AZ51" s="40"/>
      <c r="BA51" s="43"/>
      <c r="BB51" s="43"/>
      <c r="BC51" s="296"/>
      <c r="BD51" s="296"/>
      <c r="BE51" s="49"/>
      <c r="BF51" s="345"/>
      <c r="BG51" s="346"/>
      <c r="BH51" s="346"/>
      <c r="BI51" s="302"/>
      <c r="BJ51" s="352"/>
      <c r="BK51" s="350"/>
      <c r="BL51" s="346"/>
      <c r="BM51" s="347"/>
      <c r="BN51" s="318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19"/>
      <c r="CB51" s="319"/>
      <c r="CC51" s="319"/>
      <c r="CD51" s="319"/>
      <c r="CE51" s="319"/>
      <c r="CF51" s="319"/>
      <c r="CG51" s="320"/>
      <c r="CH51" s="318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9"/>
      <c r="DA51" s="320"/>
      <c r="DB51" s="318"/>
      <c r="DC51" s="319"/>
      <c r="DD51" s="319"/>
      <c r="DE51" s="319"/>
      <c r="DF51" s="319"/>
      <c r="DG51" s="319"/>
      <c r="DH51" s="319"/>
      <c r="DI51" s="319"/>
      <c r="DJ51" s="319"/>
      <c r="DK51" s="319"/>
      <c r="DL51" s="319"/>
      <c r="DM51" s="319"/>
      <c r="DN51" s="319"/>
      <c r="DO51" s="319"/>
      <c r="DP51" s="319"/>
      <c r="DQ51" s="319"/>
      <c r="DR51" s="319"/>
      <c r="DS51" s="319"/>
      <c r="DT51" s="319"/>
      <c r="DU51" s="320"/>
      <c r="DV51" s="319"/>
      <c r="DW51" s="196"/>
      <c r="DX51" s="210"/>
      <c r="DY51" s="196"/>
      <c r="DZ51" s="196"/>
      <c r="EA51" s="196"/>
      <c r="EB51" s="196"/>
      <c r="EC51" s="196"/>
      <c r="ED51" s="196"/>
      <c r="EE51" s="196"/>
      <c r="EF51" s="196"/>
      <c r="EG51" s="196"/>
      <c r="EH51" s="196"/>
      <c r="EI51" s="196"/>
      <c r="EJ51" s="196"/>
      <c r="EK51" s="196"/>
      <c r="EL51" s="196"/>
      <c r="EM51" s="205"/>
    </row>
    <row r="52" spans="2:143" x14ac:dyDescent="0.25">
      <c r="B52" s="203"/>
      <c r="C52" s="40"/>
      <c r="D52" s="41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86"/>
      <c r="Q52" s="45"/>
      <c r="R52" s="45"/>
      <c r="S52" s="45"/>
      <c r="T52" s="45"/>
      <c r="U52" s="45"/>
      <c r="V52" s="45"/>
      <c r="W52" s="45"/>
      <c r="X52" s="45"/>
      <c r="Y52" s="45"/>
      <c r="Z52" s="49"/>
      <c r="AA52" s="86"/>
      <c r="AB52" s="45"/>
      <c r="AC52" s="49"/>
      <c r="AD52" s="86"/>
      <c r="AE52" s="45"/>
      <c r="AF52" s="45"/>
      <c r="AG52" s="45"/>
      <c r="AH52" s="45"/>
      <c r="AI52" s="49"/>
      <c r="AJ52" s="45"/>
      <c r="AK52" s="86"/>
      <c r="AL52" s="196"/>
      <c r="AM52" s="196"/>
      <c r="AN52" s="196"/>
      <c r="AO52" s="196"/>
      <c r="AP52" s="196"/>
      <c r="AQ52" s="196"/>
      <c r="AR52" s="196"/>
      <c r="AS52" s="196"/>
      <c r="AT52" s="196"/>
      <c r="AU52" s="196"/>
      <c r="AV52" s="196"/>
      <c r="AW52" s="196"/>
      <c r="AX52" s="205"/>
      <c r="AY52" s="196"/>
      <c r="AZ52" s="40"/>
      <c r="BA52" s="43"/>
      <c r="BB52" s="43"/>
      <c r="BC52" s="296"/>
      <c r="BD52" s="296"/>
      <c r="BE52" s="49"/>
      <c r="BF52" s="345"/>
      <c r="BG52" s="346"/>
      <c r="BH52" s="346"/>
      <c r="BI52" s="302"/>
      <c r="BJ52" s="352"/>
      <c r="BK52" s="350"/>
      <c r="BL52" s="346"/>
      <c r="BM52" s="347"/>
      <c r="BN52" s="318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19"/>
      <c r="CB52" s="319"/>
      <c r="CC52" s="319"/>
      <c r="CD52" s="319"/>
      <c r="CE52" s="319"/>
      <c r="CF52" s="319"/>
      <c r="CG52" s="320"/>
      <c r="CH52" s="318"/>
      <c r="CI52" s="319"/>
      <c r="CJ52" s="319"/>
      <c r="CK52" s="319"/>
      <c r="CL52" s="319"/>
      <c r="CM52" s="319"/>
      <c r="CN52" s="319"/>
      <c r="CO52" s="319"/>
      <c r="CP52" s="319"/>
      <c r="CQ52" s="319"/>
      <c r="CR52" s="319"/>
      <c r="CS52" s="319"/>
      <c r="CT52" s="319"/>
      <c r="CU52" s="319"/>
      <c r="CV52" s="319"/>
      <c r="CW52" s="319"/>
      <c r="CX52" s="319"/>
      <c r="CY52" s="319"/>
      <c r="CZ52" s="319"/>
      <c r="DA52" s="320"/>
      <c r="DB52" s="318"/>
      <c r="DC52" s="319"/>
      <c r="DD52" s="319"/>
      <c r="DE52" s="319"/>
      <c r="DF52" s="319"/>
      <c r="DG52" s="319"/>
      <c r="DH52" s="319"/>
      <c r="DI52" s="319"/>
      <c r="DJ52" s="319"/>
      <c r="DK52" s="319"/>
      <c r="DL52" s="319"/>
      <c r="DM52" s="319"/>
      <c r="DN52" s="319"/>
      <c r="DO52" s="319"/>
      <c r="DP52" s="319"/>
      <c r="DQ52" s="319"/>
      <c r="DR52" s="319"/>
      <c r="DS52" s="319"/>
      <c r="DT52" s="319"/>
      <c r="DU52" s="320"/>
      <c r="DV52" s="319"/>
      <c r="DW52" s="196"/>
      <c r="DX52" s="210"/>
      <c r="DY52" s="196"/>
      <c r="DZ52" s="196"/>
      <c r="EA52" s="196"/>
      <c r="EB52" s="196"/>
      <c r="EC52" s="196"/>
      <c r="ED52" s="196"/>
      <c r="EE52" s="196"/>
      <c r="EF52" s="196"/>
      <c r="EG52" s="196"/>
      <c r="EH52" s="196"/>
      <c r="EI52" s="196"/>
      <c r="EJ52" s="196"/>
      <c r="EK52" s="196"/>
      <c r="EL52" s="196"/>
      <c r="EM52" s="205"/>
    </row>
    <row r="53" spans="2:143" x14ac:dyDescent="0.25">
      <c r="B53" s="203"/>
      <c r="C53" s="40"/>
      <c r="D53" s="41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86"/>
      <c r="Q53" s="45"/>
      <c r="R53" s="45"/>
      <c r="S53" s="45"/>
      <c r="T53" s="45"/>
      <c r="U53" s="45"/>
      <c r="V53" s="45"/>
      <c r="W53" s="45"/>
      <c r="X53" s="45"/>
      <c r="Y53" s="45"/>
      <c r="Z53" s="49"/>
      <c r="AA53" s="86"/>
      <c r="AB53" s="45"/>
      <c r="AC53" s="49"/>
      <c r="AD53" s="86"/>
      <c r="AE53" s="45"/>
      <c r="AF53" s="45"/>
      <c r="AG53" s="45"/>
      <c r="AH53" s="45"/>
      <c r="AI53" s="49"/>
      <c r="AJ53" s="45"/>
      <c r="AK53" s="8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196"/>
      <c r="AW53" s="196"/>
      <c r="AX53" s="205"/>
      <c r="AY53" s="196"/>
      <c r="AZ53" s="40"/>
      <c r="BA53" s="43"/>
      <c r="BB53" s="43"/>
      <c r="BC53" s="296"/>
      <c r="BD53" s="296"/>
      <c r="BE53" s="49"/>
      <c r="BF53" s="345"/>
      <c r="BG53" s="346"/>
      <c r="BH53" s="346"/>
      <c r="BI53" s="302"/>
      <c r="BJ53" s="352"/>
      <c r="BK53" s="350"/>
      <c r="BL53" s="346"/>
      <c r="BM53" s="347"/>
      <c r="BN53" s="318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19"/>
      <c r="CB53" s="319"/>
      <c r="CC53" s="319"/>
      <c r="CD53" s="319"/>
      <c r="CE53" s="319"/>
      <c r="CF53" s="319"/>
      <c r="CG53" s="320"/>
      <c r="CH53" s="318"/>
      <c r="CI53" s="319"/>
      <c r="CJ53" s="319"/>
      <c r="CK53" s="319"/>
      <c r="CL53" s="319"/>
      <c r="CM53" s="319"/>
      <c r="CN53" s="319"/>
      <c r="CO53" s="319"/>
      <c r="CP53" s="319"/>
      <c r="CQ53" s="319"/>
      <c r="CR53" s="319"/>
      <c r="CS53" s="319"/>
      <c r="CT53" s="319"/>
      <c r="CU53" s="319"/>
      <c r="CV53" s="319"/>
      <c r="CW53" s="319"/>
      <c r="CX53" s="319"/>
      <c r="CY53" s="319"/>
      <c r="CZ53" s="319"/>
      <c r="DA53" s="320"/>
      <c r="DB53" s="318"/>
      <c r="DC53" s="319"/>
      <c r="DD53" s="319"/>
      <c r="DE53" s="319"/>
      <c r="DF53" s="319"/>
      <c r="DG53" s="319"/>
      <c r="DH53" s="319"/>
      <c r="DI53" s="319"/>
      <c r="DJ53" s="319"/>
      <c r="DK53" s="319"/>
      <c r="DL53" s="319"/>
      <c r="DM53" s="319"/>
      <c r="DN53" s="319"/>
      <c r="DO53" s="319"/>
      <c r="DP53" s="319"/>
      <c r="DQ53" s="319"/>
      <c r="DR53" s="319"/>
      <c r="DS53" s="319"/>
      <c r="DT53" s="319"/>
      <c r="DU53" s="320"/>
      <c r="DV53" s="319"/>
      <c r="DW53" s="196"/>
      <c r="DX53" s="210"/>
      <c r="DY53" s="196"/>
      <c r="DZ53" s="196"/>
      <c r="EA53" s="196"/>
      <c r="EB53" s="196"/>
      <c r="EC53" s="196"/>
      <c r="ED53" s="196"/>
      <c r="EE53" s="196"/>
      <c r="EF53" s="196"/>
      <c r="EG53" s="196"/>
      <c r="EH53" s="196"/>
      <c r="EI53" s="196"/>
      <c r="EJ53" s="196"/>
      <c r="EK53" s="196"/>
      <c r="EL53" s="196"/>
      <c r="EM53" s="205"/>
    </row>
    <row r="54" spans="2:143" x14ac:dyDescent="0.25">
      <c r="B54" s="203"/>
      <c r="C54" s="40"/>
      <c r="D54" s="41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86"/>
      <c r="Q54" s="45"/>
      <c r="R54" s="45"/>
      <c r="S54" s="45"/>
      <c r="T54" s="45"/>
      <c r="U54" s="45"/>
      <c r="V54" s="45"/>
      <c r="W54" s="45"/>
      <c r="X54" s="45"/>
      <c r="Y54" s="45"/>
      <c r="Z54" s="49"/>
      <c r="AA54" s="86"/>
      <c r="AB54" s="45"/>
      <c r="AC54" s="49"/>
      <c r="AD54" s="86"/>
      <c r="AE54" s="45"/>
      <c r="AF54" s="45"/>
      <c r="AG54" s="45"/>
      <c r="AH54" s="45"/>
      <c r="AI54" s="49"/>
      <c r="AJ54" s="45"/>
      <c r="AK54" s="86"/>
      <c r="AL54" s="196"/>
      <c r="AM54" s="196"/>
      <c r="AN54" s="196"/>
      <c r="AO54" s="196"/>
      <c r="AP54" s="196"/>
      <c r="AQ54" s="196"/>
      <c r="AR54" s="196"/>
      <c r="AS54" s="196"/>
      <c r="AT54" s="196"/>
      <c r="AU54" s="196"/>
      <c r="AV54" s="196"/>
      <c r="AW54" s="196"/>
      <c r="AX54" s="205"/>
      <c r="AY54" s="196"/>
      <c r="AZ54" s="40"/>
      <c r="BA54" s="43"/>
      <c r="BB54" s="43"/>
      <c r="BC54" s="296"/>
      <c r="BD54" s="296"/>
      <c r="BE54" s="49"/>
      <c r="BF54" s="345"/>
      <c r="BG54" s="346"/>
      <c r="BH54" s="346"/>
      <c r="BI54" s="302"/>
      <c r="BJ54" s="352"/>
      <c r="BK54" s="350"/>
      <c r="BL54" s="346"/>
      <c r="BM54" s="347"/>
      <c r="BN54" s="318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19"/>
      <c r="CB54" s="319"/>
      <c r="CC54" s="319"/>
      <c r="CD54" s="319"/>
      <c r="CE54" s="319"/>
      <c r="CF54" s="319"/>
      <c r="CG54" s="320"/>
      <c r="CH54" s="318"/>
      <c r="CI54" s="319"/>
      <c r="CJ54" s="319"/>
      <c r="CK54" s="319"/>
      <c r="CL54" s="319"/>
      <c r="CM54" s="319"/>
      <c r="CN54" s="319"/>
      <c r="CO54" s="319"/>
      <c r="CP54" s="319"/>
      <c r="CQ54" s="319"/>
      <c r="CR54" s="319"/>
      <c r="CS54" s="319"/>
      <c r="CT54" s="319"/>
      <c r="CU54" s="319"/>
      <c r="CV54" s="319"/>
      <c r="CW54" s="319"/>
      <c r="CX54" s="319"/>
      <c r="CY54" s="319"/>
      <c r="CZ54" s="319"/>
      <c r="DA54" s="320"/>
      <c r="DB54" s="318"/>
      <c r="DC54" s="319"/>
      <c r="DD54" s="319"/>
      <c r="DE54" s="319"/>
      <c r="DF54" s="319"/>
      <c r="DG54" s="319"/>
      <c r="DH54" s="319"/>
      <c r="DI54" s="319"/>
      <c r="DJ54" s="319"/>
      <c r="DK54" s="319"/>
      <c r="DL54" s="319"/>
      <c r="DM54" s="319"/>
      <c r="DN54" s="319"/>
      <c r="DO54" s="319"/>
      <c r="DP54" s="319"/>
      <c r="DQ54" s="319"/>
      <c r="DR54" s="319"/>
      <c r="DS54" s="319"/>
      <c r="DT54" s="319"/>
      <c r="DU54" s="320"/>
      <c r="DV54" s="319"/>
      <c r="DW54" s="196"/>
      <c r="DX54" s="210"/>
      <c r="DY54" s="196"/>
      <c r="DZ54" s="196"/>
      <c r="EA54" s="196"/>
      <c r="EB54" s="196"/>
      <c r="EC54" s="196"/>
      <c r="ED54" s="196"/>
      <c r="EE54" s="196"/>
      <c r="EF54" s="196"/>
      <c r="EG54" s="196"/>
      <c r="EH54" s="196"/>
      <c r="EI54" s="196"/>
      <c r="EJ54" s="196"/>
      <c r="EK54" s="196"/>
      <c r="EL54" s="196"/>
      <c r="EM54" s="205"/>
    </row>
    <row r="55" spans="2:143" x14ac:dyDescent="0.25">
      <c r="BJ55" s="4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>
      <selection activeCell="B29" sqref="B29"/>
    </sheetView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7" t="s">
        <v>129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  <c r="AY2" s="9"/>
      <c r="AZ2" s="10" t="s">
        <v>355</v>
      </c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74" t="s">
        <v>356</v>
      </c>
      <c r="DW2" s="172"/>
      <c r="DX2" s="172"/>
      <c r="DY2" s="172"/>
      <c r="DZ2" s="172"/>
      <c r="EA2" s="172"/>
      <c r="EB2" s="172"/>
      <c r="EC2" s="172"/>
      <c r="ED2" s="172"/>
      <c r="EE2" s="172"/>
      <c r="EF2" s="172"/>
      <c r="EG2" s="172"/>
      <c r="EH2" s="172"/>
      <c r="EI2" s="172"/>
      <c r="EJ2" s="172"/>
      <c r="EK2" s="172"/>
      <c r="EL2" s="172"/>
      <c r="EM2" s="173"/>
    </row>
    <row r="3" spans="2:272" x14ac:dyDescent="0.25">
      <c r="B3" s="12" t="s">
        <v>30</v>
      </c>
      <c r="C3" s="13" t="s">
        <v>335</v>
      </c>
      <c r="D3" s="14"/>
      <c r="E3" s="13" t="s">
        <v>57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3" t="s">
        <v>74</v>
      </c>
      <c r="Q3" s="14"/>
      <c r="R3" s="14"/>
      <c r="S3" s="14"/>
      <c r="T3" s="14"/>
      <c r="U3" s="14"/>
      <c r="V3" s="14"/>
      <c r="W3" s="14"/>
      <c r="X3" s="14"/>
      <c r="Y3" s="14"/>
      <c r="Z3" s="15"/>
      <c r="AA3" s="16" t="s">
        <v>81</v>
      </c>
      <c r="AB3" s="17"/>
      <c r="AC3" s="18"/>
      <c r="AD3" s="16" t="s">
        <v>75</v>
      </c>
      <c r="AE3" s="14"/>
      <c r="AF3" s="14"/>
      <c r="AG3" s="14"/>
      <c r="AH3" s="17"/>
      <c r="AI3" s="14"/>
      <c r="AJ3" s="14"/>
      <c r="AK3" s="19"/>
      <c r="AL3" s="17" t="s">
        <v>99</v>
      </c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8"/>
      <c r="AX3" s="17"/>
      <c r="AY3" s="354" t="s">
        <v>60</v>
      </c>
      <c r="AZ3" s="20" t="s">
        <v>128</v>
      </c>
      <c r="BA3" s="21"/>
      <c r="BB3" s="21"/>
      <c r="BC3" s="21"/>
      <c r="BD3" s="21"/>
      <c r="BE3" s="21"/>
      <c r="BF3" s="21"/>
      <c r="BG3" s="21"/>
      <c r="BH3" s="21"/>
      <c r="BI3" s="21"/>
      <c r="BJ3" s="22"/>
      <c r="BK3" s="22"/>
      <c r="BL3" s="22"/>
      <c r="BM3" s="22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4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4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4"/>
      <c r="DV3" s="20" t="s">
        <v>161</v>
      </c>
      <c r="DW3" s="21"/>
      <c r="DX3" s="21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8"/>
    </row>
    <row r="4" spans="2:272" x14ac:dyDescent="0.25">
      <c r="B4" s="25" t="s">
        <v>334</v>
      </c>
      <c r="C4" s="26"/>
      <c r="D4" s="27"/>
      <c r="E4" s="28"/>
      <c r="F4" s="28"/>
      <c r="G4" s="28"/>
      <c r="H4" s="28"/>
      <c r="I4" s="28"/>
      <c r="J4" s="29"/>
      <c r="K4" s="29"/>
      <c r="L4" s="29"/>
      <c r="M4" s="29"/>
      <c r="N4" s="29"/>
      <c r="O4" s="29"/>
      <c r="P4" s="30"/>
      <c r="Q4" s="31" t="s">
        <v>36</v>
      </c>
      <c r="R4" s="29"/>
      <c r="S4" s="29"/>
      <c r="T4" s="29"/>
      <c r="U4" s="29"/>
      <c r="V4" s="29"/>
      <c r="W4" s="29"/>
      <c r="X4" s="29"/>
      <c r="Y4" s="29"/>
      <c r="Z4" s="28"/>
      <c r="AA4" s="26"/>
      <c r="AB4" s="28"/>
      <c r="AC4" s="27"/>
      <c r="AD4" s="30" t="s">
        <v>64</v>
      </c>
      <c r="AE4" s="101"/>
      <c r="AF4" s="17" t="s">
        <v>285</v>
      </c>
      <c r="AG4" s="18"/>
      <c r="AH4" s="148" t="s">
        <v>284</v>
      </c>
      <c r="AI4" s="101"/>
      <c r="AJ4" s="245" t="s">
        <v>499</v>
      </c>
      <c r="AK4" s="167"/>
      <c r="AL4" s="16" t="s">
        <v>100</v>
      </c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8"/>
      <c r="AX4" s="18"/>
      <c r="AY4" s="354" t="s">
        <v>501</v>
      </c>
      <c r="AZ4" s="20" t="s">
        <v>126</v>
      </c>
      <c r="BA4" s="21"/>
      <c r="BB4" s="21"/>
      <c r="BC4" s="21"/>
      <c r="BD4" s="21"/>
      <c r="BE4" s="36"/>
      <c r="BF4" s="37" t="s">
        <v>124</v>
      </c>
      <c r="BG4" s="38"/>
      <c r="BH4" s="17"/>
      <c r="BI4" s="38"/>
      <c r="BJ4" s="37" t="s">
        <v>281</v>
      </c>
      <c r="BK4" s="38"/>
      <c r="BL4" s="38"/>
      <c r="BM4" s="39"/>
      <c r="BN4" s="17" t="s">
        <v>385</v>
      </c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8"/>
      <c r="CH4" s="17" t="s">
        <v>130</v>
      </c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8"/>
      <c r="DB4" s="17" t="s">
        <v>406</v>
      </c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8"/>
      <c r="DV4" s="175" t="s">
        <v>384</v>
      </c>
      <c r="DW4" s="175"/>
      <c r="DX4" s="17"/>
      <c r="DY4" s="33"/>
      <c r="DZ4" s="34"/>
      <c r="EA4" s="127" t="s">
        <v>100</v>
      </c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8"/>
    </row>
    <row r="5" spans="2:272" x14ac:dyDescent="0.25">
      <c r="B5" s="25" t="s">
        <v>48</v>
      </c>
      <c r="C5" s="40" t="s">
        <v>30</v>
      </c>
      <c r="D5" s="41" t="s">
        <v>30</v>
      </c>
      <c r="E5" s="42" t="s">
        <v>32</v>
      </c>
      <c r="F5" s="43" t="s">
        <v>31</v>
      </c>
      <c r="G5" s="43"/>
      <c r="H5" s="43"/>
      <c r="I5" s="43"/>
      <c r="J5" s="44" t="s">
        <v>51</v>
      </c>
      <c r="K5" s="44" t="s">
        <v>52</v>
      </c>
      <c r="L5" s="44" t="s">
        <v>51</v>
      </c>
      <c r="M5" s="44" t="s">
        <v>51</v>
      </c>
      <c r="N5" s="45" t="s">
        <v>52</v>
      </c>
      <c r="O5" s="45" t="s">
        <v>52</v>
      </c>
      <c r="P5" s="46"/>
      <c r="Q5" s="47" t="s">
        <v>310</v>
      </c>
      <c r="R5" s="48" t="s">
        <v>59</v>
      </c>
      <c r="S5" s="58" t="s">
        <v>350</v>
      </c>
      <c r="T5" s="45" t="s">
        <v>60</v>
      </c>
      <c r="U5" s="47" t="s">
        <v>30</v>
      </c>
      <c r="V5" s="47" t="s">
        <v>136</v>
      </c>
      <c r="W5" s="47" t="s">
        <v>103</v>
      </c>
      <c r="X5" s="47" t="s">
        <v>102</v>
      </c>
      <c r="Y5" s="47" t="s">
        <v>30</v>
      </c>
      <c r="Z5" s="214" t="s">
        <v>33</v>
      </c>
      <c r="AA5" s="40" t="s">
        <v>41</v>
      </c>
      <c r="AB5" s="43" t="s">
        <v>42</v>
      </c>
      <c r="AC5" s="41" t="s">
        <v>44</v>
      </c>
      <c r="AD5" s="46" t="s">
        <v>6</v>
      </c>
      <c r="AE5" s="89"/>
      <c r="AF5" s="44" t="s">
        <v>70</v>
      </c>
      <c r="AG5" s="50" t="s">
        <v>160</v>
      </c>
      <c r="AH5" s="131" t="s">
        <v>72</v>
      </c>
      <c r="AI5" s="168" t="s">
        <v>64</v>
      </c>
      <c r="AJ5" s="246" t="s">
        <v>6</v>
      </c>
      <c r="AK5" s="83" t="s">
        <v>60</v>
      </c>
      <c r="AL5" s="164" t="s">
        <v>162</v>
      </c>
      <c r="AM5" s="48" t="s">
        <v>93</v>
      </c>
      <c r="AN5" s="60" t="s">
        <v>95</v>
      </c>
      <c r="AO5" s="60" t="s">
        <v>163</v>
      </c>
      <c r="AP5" s="60" t="s">
        <v>164</v>
      </c>
      <c r="AQ5" s="60" t="s">
        <v>165</v>
      </c>
      <c r="AR5" s="60" t="s">
        <v>95</v>
      </c>
      <c r="AS5" s="60" t="s">
        <v>166</v>
      </c>
      <c r="AT5" s="60" t="s">
        <v>98</v>
      </c>
      <c r="AU5" s="60" t="s">
        <v>93</v>
      </c>
      <c r="AV5" s="60" t="s">
        <v>95</v>
      </c>
      <c r="AW5" s="60" t="s">
        <v>96</v>
      </c>
      <c r="AX5" s="51" t="s">
        <v>131</v>
      </c>
      <c r="AY5" s="354" t="s">
        <v>502</v>
      </c>
      <c r="AZ5" s="54" t="s">
        <v>250</v>
      </c>
      <c r="BA5" s="55" t="s">
        <v>250</v>
      </c>
      <c r="BB5" s="55" t="s">
        <v>250</v>
      </c>
      <c r="BC5" s="55" t="s">
        <v>207</v>
      </c>
      <c r="BD5" s="55" t="s">
        <v>207</v>
      </c>
      <c r="BE5" s="56" t="s">
        <v>127</v>
      </c>
      <c r="BF5" s="57"/>
      <c r="BG5" s="58" t="s">
        <v>122</v>
      </c>
      <c r="BH5" s="58" t="s">
        <v>122</v>
      </c>
      <c r="BI5" s="58"/>
      <c r="BJ5" s="218" t="s">
        <v>131</v>
      </c>
      <c r="BK5" s="182" t="s">
        <v>135</v>
      </c>
      <c r="BL5" s="182" t="s">
        <v>92</v>
      </c>
      <c r="BM5" s="183" t="s">
        <v>133</v>
      </c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32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32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32"/>
      <c r="DV5" s="88" t="s">
        <v>59</v>
      </c>
      <c r="DW5" s="88" t="s">
        <v>33</v>
      </c>
      <c r="DX5" s="32"/>
      <c r="DY5" s="28" t="s">
        <v>160</v>
      </c>
      <c r="DZ5" s="130" t="s">
        <v>64</v>
      </c>
      <c r="EA5" s="85" t="s">
        <v>162</v>
      </c>
      <c r="EB5" s="29" t="s">
        <v>93</v>
      </c>
      <c r="EC5" s="131" t="s">
        <v>95</v>
      </c>
      <c r="ED5" s="131" t="s">
        <v>163</v>
      </c>
      <c r="EE5" s="131" t="s">
        <v>164</v>
      </c>
      <c r="EF5" s="131" t="s">
        <v>165</v>
      </c>
      <c r="EG5" s="131" t="s">
        <v>95</v>
      </c>
      <c r="EH5" s="131" t="s">
        <v>166</v>
      </c>
      <c r="EI5" s="131" t="s">
        <v>98</v>
      </c>
      <c r="EJ5" s="131" t="s">
        <v>93</v>
      </c>
      <c r="EK5" s="131" t="s">
        <v>95</v>
      </c>
      <c r="EL5" s="131" t="s">
        <v>96</v>
      </c>
      <c r="EM5" s="130" t="s">
        <v>131</v>
      </c>
    </row>
    <row r="6" spans="2:272" x14ac:dyDescent="0.25">
      <c r="B6" s="25" t="s">
        <v>49</v>
      </c>
      <c r="C6" s="40" t="s">
        <v>36</v>
      </c>
      <c r="D6" s="41" t="s">
        <v>1</v>
      </c>
      <c r="E6" s="43" t="s">
        <v>36</v>
      </c>
      <c r="F6" s="43" t="s">
        <v>1</v>
      </c>
      <c r="G6" s="43" t="s">
        <v>331</v>
      </c>
      <c r="H6" s="43" t="s">
        <v>332</v>
      </c>
      <c r="I6" s="43" t="s">
        <v>333</v>
      </c>
      <c r="J6" s="45" t="s">
        <v>53</v>
      </c>
      <c r="K6" s="45" t="s">
        <v>53</v>
      </c>
      <c r="L6" s="44" t="s">
        <v>55</v>
      </c>
      <c r="M6" s="44" t="s">
        <v>56</v>
      </c>
      <c r="N6" s="45" t="s">
        <v>55</v>
      </c>
      <c r="O6" s="45" t="s">
        <v>56</v>
      </c>
      <c r="P6" s="46" t="s">
        <v>17</v>
      </c>
      <c r="Q6" s="47" t="s">
        <v>34</v>
      </c>
      <c r="R6" s="48" t="s">
        <v>13</v>
      </c>
      <c r="S6" s="58" t="s">
        <v>13</v>
      </c>
      <c r="T6" s="45" t="s">
        <v>61</v>
      </c>
      <c r="U6" s="47" t="s">
        <v>34</v>
      </c>
      <c r="V6" s="47" t="s">
        <v>34</v>
      </c>
      <c r="W6" s="47" t="s">
        <v>34</v>
      </c>
      <c r="X6" s="47" t="s">
        <v>34</v>
      </c>
      <c r="Y6" s="47" t="s">
        <v>0</v>
      </c>
      <c r="Z6" s="214" t="s">
        <v>0</v>
      </c>
      <c r="AA6" s="40" t="s">
        <v>42</v>
      </c>
      <c r="AB6" s="43" t="s">
        <v>43</v>
      </c>
      <c r="AC6" s="41" t="s">
        <v>42</v>
      </c>
      <c r="AD6" s="46" t="s">
        <v>34</v>
      </c>
      <c r="AE6" s="211" t="s">
        <v>12</v>
      </c>
      <c r="AF6" s="44" t="s">
        <v>68</v>
      </c>
      <c r="AG6" s="50" t="s">
        <v>36</v>
      </c>
      <c r="AH6" s="44" t="s">
        <v>73</v>
      </c>
      <c r="AI6" s="169" t="s">
        <v>71</v>
      </c>
      <c r="AJ6" s="246" t="s">
        <v>34</v>
      </c>
      <c r="AK6" s="83" t="s">
        <v>159</v>
      </c>
      <c r="AL6" s="61" t="s">
        <v>167</v>
      </c>
      <c r="AM6" s="60" t="s">
        <v>90</v>
      </c>
      <c r="AN6" s="60" t="s">
        <v>90</v>
      </c>
      <c r="AO6" s="60" t="s">
        <v>92</v>
      </c>
      <c r="AP6" s="60" t="s">
        <v>168</v>
      </c>
      <c r="AQ6" s="60" t="s">
        <v>97</v>
      </c>
      <c r="AR6" s="60" t="s">
        <v>97</v>
      </c>
      <c r="AS6" s="60" t="s">
        <v>97</v>
      </c>
      <c r="AT6" s="60" t="s">
        <v>97</v>
      </c>
      <c r="AU6" s="60" t="s">
        <v>94</v>
      </c>
      <c r="AV6" s="60" t="s">
        <v>94</v>
      </c>
      <c r="AW6" s="60" t="s">
        <v>94</v>
      </c>
      <c r="AX6" s="50" t="s">
        <v>60</v>
      </c>
      <c r="AY6" s="354" t="s">
        <v>503</v>
      </c>
      <c r="AZ6" s="54" t="s">
        <v>34</v>
      </c>
      <c r="BA6" s="55" t="s">
        <v>357</v>
      </c>
      <c r="BB6" s="55" t="s">
        <v>358</v>
      </c>
      <c r="BC6" s="55" t="s">
        <v>116</v>
      </c>
      <c r="BD6" s="55" t="s">
        <v>125</v>
      </c>
      <c r="BE6" s="59" t="s">
        <v>118</v>
      </c>
      <c r="BF6" s="57" t="s">
        <v>119</v>
      </c>
      <c r="BG6" s="58" t="s">
        <v>50</v>
      </c>
      <c r="BH6" s="58" t="s">
        <v>121</v>
      </c>
      <c r="BI6" s="58" t="s">
        <v>123</v>
      </c>
      <c r="BJ6" s="132" t="s">
        <v>60</v>
      </c>
      <c r="BK6" s="58" t="s">
        <v>68</v>
      </c>
      <c r="BL6" s="58" t="s">
        <v>132</v>
      </c>
      <c r="BM6" s="59" t="s">
        <v>134</v>
      </c>
      <c r="BN6" s="55" t="s">
        <v>118</v>
      </c>
      <c r="BO6" s="55" t="s">
        <v>118</v>
      </c>
      <c r="BP6" s="55" t="s">
        <v>118</v>
      </c>
      <c r="BQ6" s="55" t="s">
        <v>118</v>
      </c>
      <c r="BR6" s="55" t="s">
        <v>118</v>
      </c>
      <c r="BS6" s="55" t="s">
        <v>118</v>
      </c>
      <c r="BT6" s="55" t="s">
        <v>118</v>
      </c>
      <c r="BU6" s="55" t="s">
        <v>118</v>
      </c>
      <c r="BV6" s="55" t="s">
        <v>118</v>
      </c>
      <c r="BW6" s="55" t="s">
        <v>118</v>
      </c>
      <c r="BX6" s="55" t="s">
        <v>118</v>
      </c>
      <c r="BY6" s="55" t="s">
        <v>118</v>
      </c>
      <c r="BZ6" s="55" t="s">
        <v>118</v>
      </c>
      <c r="CA6" s="55" t="s">
        <v>118</v>
      </c>
      <c r="CB6" s="55" t="s">
        <v>118</v>
      </c>
      <c r="CC6" s="55" t="s">
        <v>118</v>
      </c>
      <c r="CD6" s="55" t="s">
        <v>118</v>
      </c>
      <c r="CE6" s="55" t="s">
        <v>118</v>
      </c>
      <c r="CF6" s="55" t="s">
        <v>118</v>
      </c>
      <c r="CG6" s="56" t="s">
        <v>118</v>
      </c>
      <c r="CH6" s="55" t="s">
        <v>118</v>
      </c>
      <c r="CI6" s="55" t="s">
        <v>118</v>
      </c>
      <c r="CJ6" s="55" t="s">
        <v>118</v>
      </c>
      <c r="CK6" s="55" t="s">
        <v>118</v>
      </c>
      <c r="CL6" s="55" t="s">
        <v>118</v>
      </c>
      <c r="CM6" s="55" t="s">
        <v>118</v>
      </c>
      <c r="CN6" s="55" t="s">
        <v>118</v>
      </c>
      <c r="CO6" s="55" t="s">
        <v>118</v>
      </c>
      <c r="CP6" s="55" t="s">
        <v>118</v>
      </c>
      <c r="CQ6" s="55" t="s">
        <v>118</v>
      </c>
      <c r="CR6" s="55" t="s">
        <v>118</v>
      </c>
      <c r="CS6" s="55" t="s">
        <v>118</v>
      </c>
      <c r="CT6" s="55" t="s">
        <v>118</v>
      </c>
      <c r="CU6" s="55" t="s">
        <v>118</v>
      </c>
      <c r="CV6" s="55" t="s">
        <v>118</v>
      </c>
      <c r="CW6" s="55" t="s">
        <v>118</v>
      </c>
      <c r="CX6" s="55" t="s">
        <v>118</v>
      </c>
      <c r="CY6" s="55" t="s">
        <v>118</v>
      </c>
      <c r="CZ6" s="55" t="s">
        <v>118</v>
      </c>
      <c r="DA6" s="56" t="s">
        <v>118</v>
      </c>
      <c r="DB6" s="55" t="s">
        <v>118</v>
      </c>
      <c r="DC6" s="55" t="s">
        <v>118</v>
      </c>
      <c r="DD6" s="55" t="s">
        <v>118</v>
      </c>
      <c r="DE6" s="55" t="s">
        <v>118</v>
      </c>
      <c r="DF6" s="55" t="s">
        <v>118</v>
      </c>
      <c r="DG6" s="55" t="s">
        <v>118</v>
      </c>
      <c r="DH6" s="55" t="s">
        <v>118</v>
      </c>
      <c r="DI6" s="55" t="s">
        <v>118</v>
      </c>
      <c r="DJ6" s="55" t="s">
        <v>118</v>
      </c>
      <c r="DK6" s="55" t="s">
        <v>118</v>
      </c>
      <c r="DL6" s="55" t="s">
        <v>118</v>
      </c>
      <c r="DM6" s="55" t="s">
        <v>118</v>
      </c>
      <c r="DN6" s="55" t="s">
        <v>118</v>
      </c>
      <c r="DO6" s="55" t="s">
        <v>118</v>
      </c>
      <c r="DP6" s="55" t="s">
        <v>118</v>
      </c>
      <c r="DQ6" s="55" t="s">
        <v>118</v>
      </c>
      <c r="DR6" s="55" t="s">
        <v>118</v>
      </c>
      <c r="DS6" s="55" t="s">
        <v>118</v>
      </c>
      <c r="DT6" s="55" t="s">
        <v>118</v>
      </c>
      <c r="DU6" s="56" t="s">
        <v>118</v>
      </c>
      <c r="DV6" s="89" t="s">
        <v>13</v>
      </c>
      <c r="DW6" s="89" t="s">
        <v>0</v>
      </c>
      <c r="DX6" s="49" t="s">
        <v>12</v>
      </c>
      <c r="DY6" s="44" t="s">
        <v>36</v>
      </c>
      <c r="DZ6" s="129" t="s">
        <v>71</v>
      </c>
      <c r="EA6" s="132" t="s">
        <v>167</v>
      </c>
      <c r="EB6" s="44" t="s">
        <v>90</v>
      </c>
      <c r="EC6" s="44" t="s">
        <v>90</v>
      </c>
      <c r="ED6" s="44" t="s">
        <v>92</v>
      </c>
      <c r="EE6" s="44" t="s">
        <v>168</v>
      </c>
      <c r="EF6" s="44" t="s">
        <v>97</v>
      </c>
      <c r="EG6" s="44" t="s">
        <v>97</v>
      </c>
      <c r="EH6" s="44" t="s">
        <v>97</v>
      </c>
      <c r="EI6" s="44" t="s">
        <v>97</v>
      </c>
      <c r="EJ6" s="44" t="s">
        <v>94</v>
      </c>
      <c r="EK6" s="44" t="s">
        <v>94</v>
      </c>
      <c r="EL6" s="44" t="s">
        <v>94</v>
      </c>
      <c r="EM6" s="129" t="s">
        <v>60</v>
      </c>
    </row>
    <row r="7" spans="2:272" x14ac:dyDescent="0.25">
      <c r="B7" s="25" t="s">
        <v>58</v>
      </c>
      <c r="C7" s="223" t="s">
        <v>58</v>
      </c>
      <c r="D7" s="224" t="s">
        <v>58</v>
      </c>
      <c r="E7" s="43" t="s">
        <v>38</v>
      </c>
      <c r="F7" s="42" t="s">
        <v>58</v>
      </c>
      <c r="G7" s="42" t="s">
        <v>58</v>
      </c>
      <c r="H7" s="42" t="s">
        <v>58</v>
      </c>
      <c r="I7" s="42" t="s">
        <v>58</v>
      </c>
      <c r="J7" s="45" t="s">
        <v>39</v>
      </c>
      <c r="K7" s="45" t="s">
        <v>39</v>
      </c>
      <c r="L7" s="45" t="s">
        <v>38</v>
      </c>
      <c r="M7" s="45" t="s">
        <v>38</v>
      </c>
      <c r="N7" s="45" t="s">
        <v>38</v>
      </c>
      <c r="O7" s="45" t="s">
        <v>38</v>
      </c>
      <c r="P7" s="46" t="s">
        <v>39</v>
      </c>
      <c r="Q7" s="47" t="s">
        <v>343</v>
      </c>
      <c r="R7" s="48" t="s">
        <v>35</v>
      </c>
      <c r="S7" s="58" t="s">
        <v>35</v>
      </c>
      <c r="T7" s="45" t="s">
        <v>62</v>
      </c>
      <c r="U7" s="47" t="s">
        <v>344</v>
      </c>
      <c r="V7" s="47" t="s">
        <v>63</v>
      </c>
      <c r="W7" s="47" t="s">
        <v>65</v>
      </c>
      <c r="X7" s="47" t="s">
        <v>65</v>
      </c>
      <c r="Y7" s="47" t="s">
        <v>353</v>
      </c>
      <c r="Z7" s="216" t="s">
        <v>343</v>
      </c>
      <c r="AA7" s="40" t="s">
        <v>40</v>
      </c>
      <c r="AB7" s="43" t="s">
        <v>40</v>
      </c>
      <c r="AC7" s="41" t="s">
        <v>40</v>
      </c>
      <c r="AD7" s="52" t="s">
        <v>65</v>
      </c>
      <c r="AE7" s="211" t="s">
        <v>66</v>
      </c>
      <c r="AF7" s="44" t="s">
        <v>67</v>
      </c>
      <c r="AG7" s="50" t="s">
        <v>38</v>
      </c>
      <c r="AH7" s="44" t="s">
        <v>69</v>
      </c>
      <c r="AI7" s="169" t="s">
        <v>153</v>
      </c>
      <c r="AJ7" s="356" t="s">
        <v>851</v>
      </c>
      <c r="AK7" s="83" t="s">
        <v>115</v>
      </c>
      <c r="AL7" s="164" t="s">
        <v>101</v>
      </c>
      <c r="AM7" s="48" t="s">
        <v>101</v>
      </c>
      <c r="AN7" s="48" t="s">
        <v>101</v>
      </c>
      <c r="AO7" s="48" t="s">
        <v>101</v>
      </c>
      <c r="AP7" s="48" t="s">
        <v>101</v>
      </c>
      <c r="AQ7" s="48" t="s">
        <v>101</v>
      </c>
      <c r="AR7" s="48" t="s">
        <v>101</v>
      </c>
      <c r="AS7" s="48" t="s">
        <v>101</v>
      </c>
      <c r="AT7" s="48" t="s">
        <v>101</v>
      </c>
      <c r="AU7" s="48" t="s">
        <v>101</v>
      </c>
      <c r="AV7" s="48" t="s">
        <v>101</v>
      </c>
      <c r="AW7" s="48" t="s">
        <v>101</v>
      </c>
      <c r="AX7" s="225" t="s">
        <v>101</v>
      </c>
      <c r="AY7" s="355" t="s">
        <v>65</v>
      </c>
      <c r="AZ7" s="54" t="s">
        <v>58</v>
      </c>
      <c r="BA7" s="55" t="s">
        <v>58</v>
      </c>
      <c r="BB7" s="55" t="s">
        <v>58</v>
      </c>
      <c r="BC7" s="55" t="s">
        <v>251</v>
      </c>
      <c r="BD7" s="55" t="s">
        <v>117</v>
      </c>
      <c r="BE7" s="59" t="s">
        <v>38</v>
      </c>
      <c r="BF7" s="54" t="s">
        <v>251</v>
      </c>
      <c r="BG7" s="58" t="s">
        <v>120</v>
      </c>
      <c r="BH7" s="58" t="s">
        <v>38</v>
      </c>
      <c r="BI7" s="58" t="s">
        <v>67</v>
      </c>
      <c r="BJ7" s="86" t="s">
        <v>101</v>
      </c>
      <c r="BK7" s="58" t="s">
        <v>67</v>
      </c>
      <c r="BL7" s="58" t="s">
        <v>252</v>
      </c>
      <c r="BM7" s="59" t="s">
        <v>253</v>
      </c>
      <c r="BN7" s="45">
        <v>1</v>
      </c>
      <c r="BO7" s="45">
        <v>2</v>
      </c>
      <c r="BP7" s="45">
        <v>3</v>
      </c>
      <c r="BQ7" s="45">
        <v>4</v>
      </c>
      <c r="BR7" s="45">
        <v>5</v>
      </c>
      <c r="BS7" s="45">
        <v>6</v>
      </c>
      <c r="BT7" s="45">
        <v>7</v>
      </c>
      <c r="BU7" s="45">
        <v>8</v>
      </c>
      <c r="BV7" s="45">
        <v>9</v>
      </c>
      <c r="BW7" s="45">
        <v>10</v>
      </c>
      <c r="BX7" s="45">
        <v>11</v>
      </c>
      <c r="BY7" s="45">
        <v>12</v>
      </c>
      <c r="BZ7" s="45">
        <v>13</v>
      </c>
      <c r="CA7" s="45">
        <v>14</v>
      </c>
      <c r="CB7" s="45">
        <v>15</v>
      </c>
      <c r="CC7" s="45">
        <v>16</v>
      </c>
      <c r="CD7" s="45">
        <v>17</v>
      </c>
      <c r="CE7" s="45">
        <v>18</v>
      </c>
      <c r="CF7" s="45">
        <v>19</v>
      </c>
      <c r="CG7" s="49">
        <v>20</v>
      </c>
      <c r="CH7" s="45">
        <v>1</v>
      </c>
      <c r="CI7" s="45">
        <v>2</v>
      </c>
      <c r="CJ7" s="45">
        <v>3</v>
      </c>
      <c r="CK7" s="45">
        <v>4</v>
      </c>
      <c r="CL7" s="45">
        <v>5</v>
      </c>
      <c r="CM7" s="45">
        <v>6</v>
      </c>
      <c r="CN7" s="45">
        <v>7</v>
      </c>
      <c r="CO7" s="45">
        <v>8</v>
      </c>
      <c r="CP7" s="45">
        <v>9</v>
      </c>
      <c r="CQ7" s="45">
        <v>10</v>
      </c>
      <c r="CR7" s="45">
        <v>11</v>
      </c>
      <c r="CS7" s="45">
        <v>12</v>
      </c>
      <c r="CT7" s="45">
        <v>13</v>
      </c>
      <c r="CU7" s="45">
        <v>14</v>
      </c>
      <c r="CV7" s="45">
        <v>15</v>
      </c>
      <c r="CW7" s="45">
        <v>16</v>
      </c>
      <c r="CX7" s="45">
        <v>17</v>
      </c>
      <c r="CY7" s="45">
        <v>18</v>
      </c>
      <c r="CZ7" s="45">
        <v>19</v>
      </c>
      <c r="DA7" s="49">
        <v>20</v>
      </c>
      <c r="DB7" s="45">
        <v>1</v>
      </c>
      <c r="DC7" s="45">
        <v>2</v>
      </c>
      <c r="DD7" s="45">
        <v>3</v>
      </c>
      <c r="DE7" s="45">
        <v>4</v>
      </c>
      <c r="DF7" s="45">
        <v>5</v>
      </c>
      <c r="DG7" s="45">
        <v>6</v>
      </c>
      <c r="DH7" s="45">
        <v>7</v>
      </c>
      <c r="DI7" s="45">
        <v>8</v>
      </c>
      <c r="DJ7" s="45">
        <v>9</v>
      </c>
      <c r="DK7" s="45">
        <v>10</v>
      </c>
      <c r="DL7" s="45">
        <v>11</v>
      </c>
      <c r="DM7" s="45">
        <v>12</v>
      </c>
      <c r="DN7" s="45">
        <v>13</v>
      </c>
      <c r="DO7" s="45">
        <v>14</v>
      </c>
      <c r="DP7" s="45">
        <v>15</v>
      </c>
      <c r="DQ7" s="45">
        <v>16</v>
      </c>
      <c r="DR7" s="45">
        <v>17</v>
      </c>
      <c r="DS7" s="45">
        <v>18</v>
      </c>
      <c r="DT7" s="45">
        <v>19</v>
      </c>
      <c r="DU7" s="49">
        <v>20</v>
      </c>
      <c r="DV7" s="89" t="s">
        <v>35</v>
      </c>
      <c r="DW7" s="89" t="s">
        <v>65</v>
      </c>
      <c r="DX7" s="49" t="s">
        <v>66</v>
      </c>
      <c r="DY7" s="44" t="s">
        <v>38</v>
      </c>
      <c r="DZ7" s="129" t="s">
        <v>38</v>
      </c>
      <c r="EA7" s="86" t="s">
        <v>101</v>
      </c>
      <c r="EB7" s="45" t="s">
        <v>101</v>
      </c>
      <c r="EC7" s="45" t="s">
        <v>101</v>
      </c>
      <c r="ED7" s="45" t="s">
        <v>101</v>
      </c>
      <c r="EE7" s="45" t="s">
        <v>101</v>
      </c>
      <c r="EF7" s="45" t="s">
        <v>101</v>
      </c>
      <c r="EG7" s="45" t="s">
        <v>101</v>
      </c>
      <c r="EH7" s="45" t="s">
        <v>101</v>
      </c>
      <c r="EI7" s="45" t="s">
        <v>101</v>
      </c>
      <c r="EJ7" s="45" t="s">
        <v>101</v>
      </c>
      <c r="EK7" s="45" t="s">
        <v>101</v>
      </c>
      <c r="EL7" s="45" t="s">
        <v>101</v>
      </c>
      <c r="EM7" s="49" t="s">
        <v>101</v>
      </c>
    </row>
    <row r="8" spans="2:272" x14ac:dyDescent="0.25">
      <c r="B8" s="226" t="s">
        <v>857</v>
      </c>
      <c r="C8" s="19"/>
      <c r="D8" s="34" t="s">
        <v>867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150">
        <v>10</v>
      </c>
      <c r="Q8" s="148">
        <v>3</v>
      </c>
      <c r="R8" s="148"/>
      <c r="S8" s="148"/>
      <c r="T8" s="148"/>
      <c r="U8" s="148">
        <v>2</v>
      </c>
      <c r="V8" s="148">
        <v>1</v>
      </c>
      <c r="W8" s="148">
        <v>1</v>
      </c>
      <c r="X8" s="148">
        <v>4</v>
      </c>
      <c r="Y8" s="148">
        <v>1</v>
      </c>
      <c r="Z8" s="149"/>
      <c r="AA8" s="150"/>
      <c r="AB8" s="148"/>
      <c r="AC8" s="148"/>
      <c r="AD8" s="150">
        <v>5</v>
      </c>
      <c r="AE8" s="148"/>
      <c r="AF8" s="148"/>
      <c r="AG8" s="148"/>
      <c r="AH8" s="148"/>
      <c r="AI8" s="148"/>
      <c r="AJ8" s="149">
        <v>1</v>
      </c>
      <c r="AK8" s="148">
        <v>6</v>
      </c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228"/>
      <c r="AY8" s="228">
        <v>3</v>
      </c>
      <c r="AZ8" s="19" t="s">
        <v>322</v>
      </c>
      <c r="BA8" s="33" t="s">
        <v>515</v>
      </c>
      <c r="BB8" s="33" t="s">
        <v>455</v>
      </c>
      <c r="BC8" s="276">
        <v>4.9980000000000002</v>
      </c>
      <c r="BD8" s="276">
        <v>0.49980000000000002</v>
      </c>
      <c r="BE8" s="149">
        <v>2</v>
      </c>
      <c r="BF8" s="277">
        <v>8.0770882091518157</v>
      </c>
      <c r="BG8" s="278">
        <v>0.80770882091518159</v>
      </c>
      <c r="BH8" s="278">
        <v>1.6160640674573461</v>
      </c>
      <c r="BI8" s="279">
        <v>0</v>
      </c>
      <c r="BJ8" s="280">
        <v>2000.0000000000002</v>
      </c>
      <c r="BK8" s="281">
        <v>0.22366666666666662</v>
      </c>
      <c r="BL8" s="278">
        <v>7.3000000000000007</v>
      </c>
      <c r="BM8" s="282">
        <v>0.17095505000000003</v>
      </c>
      <c r="BN8" s="283">
        <v>2000.0000000000002</v>
      </c>
      <c r="BO8" s="227">
        <v>2120.0000000000005</v>
      </c>
      <c r="BP8" s="227">
        <v>2247.1999999999998</v>
      </c>
      <c r="BQ8" s="227">
        <v>2382.0320000000002</v>
      </c>
      <c r="BR8" s="227">
        <v>2524.9539199999995</v>
      </c>
      <c r="BS8" s="227">
        <v>2676.4511551999999</v>
      </c>
      <c r="BT8" s="227">
        <v>2837.0382245120009</v>
      </c>
      <c r="BU8" s="227">
        <v>3007.2605179827201</v>
      </c>
      <c r="BV8" s="227">
        <v>3187.6961490616836</v>
      </c>
      <c r="BW8" s="227">
        <v>3378.9579180053843</v>
      </c>
      <c r="BX8" s="227">
        <v>3581.6953930857071</v>
      </c>
      <c r="BY8" s="227">
        <v>3796.59711667085</v>
      </c>
      <c r="BZ8" s="227">
        <v>4024.3929436711001</v>
      </c>
      <c r="CA8" s="227">
        <v>4265.8565202913678</v>
      </c>
      <c r="CB8" s="227">
        <v>4521.8079115088494</v>
      </c>
      <c r="CC8" s="227">
        <v>4793.11638619938</v>
      </c>
      <c r="CD8" s="227">
        <v>5080.703369371342</v>
      </c>
      <c r="CE8" s="227">
        <v>5385.5455715336238</v>
      </c>
      <c r="CF8" s="227">
        <v>5708.6783058256406</v>
      </c>
      <c r="CG8" s="228">
        <v>6051.1990041751797</v>
      </c>
      <c r="CH8" s="284">
        <v>12</v>
      </c>
      <c r="CI8" s="285">
        <v>2</v>
      </c>
      <c r="CJ8" s="285">
        <v>2.0499999999999998</v>
      </c>
      <c r="CK8" s="285">
        <v>2.1012499999999998</v>
      </c>
      <c r="CL8" s="285">
        <v>2.1537812499999998</v>
      </c>
      <c r="CM8" s="285">
        <v>2.20762578125</v>
      </c>
      <c r="CN8" s="285">
        <v>2.2628164257812502</v>
      </c>
      <c r="CO8" s="285">
        <v>2.3193868364257813</v>
      </c>
      <c r="CP8" s="285">
        <v>2.3773715073364259</v>
      </c>
      <c r="CQ8" s="285">
        <v>2.5</v>
      </c>
      <c r="CR8" s="285">
        <v>2.5625</v>
      </c>
      <c r="CS8" s="285">
        <v>2.6265624999999999</v>
      </c>
      <c r="CT8" s="285">
        <v>2.6922265624999997</v>
      </c>
      <c r="CU8" s="285">
        <v>2.7595322265624995</v>
      </c>
      <c r="CV8" s="285">
        <v>2.8285205322265621</v>
      </c>
      <c r="CW8" s="285">
        <v>2.8992335455322262</v>
      </c>
      <c r="CX8" s="285">
        <v>2.9717143841705318</v>
      </c>
      <c r="CY8" s="285">
        <v>2.5</v>
      </c>
      <c r="CZ8" s="285">
        <v>2.5625</v>
      </c>
      <c r="DA8" s="286">
        <v>2.6265624999999999</v>
      </c>
      <c r="DB8" s="277">
        <v>0</v>
      </c>
      <c r="DC8" s="278">
        <v>-3.418027528045287</v>
      </c>
      <c r="DD8" s="278">
        <v>1.2617738145294646</v>
      </c>
      <c r="DE8" s="278">
        <v>1.4083901140712722</v>
      </c>
      <c r="DF8" s="278">
        <v>1.5716219479356335</v>
      </c>
      <c r="DG8" s="278">
        <v>1.5684994958529597</v>
      </c>
      <c r="DH8" s="278">
        <v>1.9551092498093769</v>
      </c>
      <c r="DI8" s="278">
        <v>2.1792831151522902</v>
      </c>
      <c r="DJ8" s="278">
        <v>2.4278768196030809</v>
      </c>
      <c r="DK8" s="278">
        <v>3.9260706749256808</v>
      </c>
      <c r="DL8" s="278">
        <v>-1.9416026125789188E-2</v>
      </c>
      <c r="DM8" s="278">
        <v>-2.2194164270488592E-2</v>
      </c>
      <c r="DN8" s="278">
        <v>-2.5333476077246786E-2</v>
      </c>
      <c r="DO8" s="278">
        <v>-2.8878436225809878E-2</v>
      </c>
      <c r="DP8" s="278">
        <v>-3.2878808612760047E-2</v>
      </c>
      <c r="DQ8" s="278">
        <v>-3.7390260433226352E-2</v>
      </c>
      <c r="DR8" s="278">
        <v>-4.2475046346856615E-2</v>
      </c>
      <c r="DS8" s="278">
        <v>0</v>
      </c>
      <c r="DT8" s="278">
        <v>0</v>
      </c>
      <c r="DU8" s="282">
        <v>0</v>
      </c>
      <c r="DV8" s="287">
        <v>7</v>
      </c>
      <c r="DW8" s="227">
        <v>2</v>
      </c>
      <c r="DX8" s="229">
        <v>12</v>
      </c>
      <c r="DY8" s="227">
        <v>4</v>
      </c>
      <c r="DZ8" s="227">
        <v>20</v>
      </c>
      <c r="EA8" s="227">
        <v>0</v>
      </c>
      <c r="EB8" s="227">
        <v>0</v>
      </c>
      <c r="EC8" s="227">
        <v>595.33333333333337</v>
      </c>
      <c r="ED8" s="227">
        <v>545</v>
      </c>
      <c r="EE8" s="227">
        <v>0</v>
      </c>
      <c r="EF8" s="227">
        <v>133.66666666666666</v>
      </c>
      <c r="EG8" s="227">
        <v>156.33333333333331</v>
      </c>
      <c r="EH8" s="227">
        <v>68.333333333333329</v>
      </c>
      <c r="EI8" s="227">
        <v>89</v>
      </c>
      <c r="EJ8" s="227">
        <v>301</v>
      </c>
      <c r="EK8" s="227">
        <v>55.666666666666671</v>
      </c>
      <c r="EL8" s="227">
        <v>55.666666666666671</v>
      </c>
      <c r="EM8" s="228">
        <v>2000.0000000000002</v>
      </c>
    </row>
    <row r="9" spans="2:272" x14ac:dyDescent="0.25">
      <c r="B9" s="43"/>
      <c r="C9" s="42"/>
      <c r="D9" s="42"/>
      <c r="E9" s="43"/>
      <c r="F9" s="42"/>
      <c r="G9" s="42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4"/>
      <c r="V9" s="43"/>
      <c r="W9" s="43"/>
      <c r="X9" s="43"/>
      <c r="Y9" s="44"/>
      <c r="Z9" s="45"/>
      <c r="AA9" s="44"/>
      <c r="AB9" s="44"/>
      <c r="AC9" s="44"/>
      <c r="AD9" s="44"/>
      <c r="AE9" s="44"/>
      <c r="AF9" s="45"/>
      <c r="AG9" s="45"/>
      <c r="AH9" s="45"/>
      <c r="AI9" s="45"/>
      <c r="AK9" s="45"/>
      <c r="AL9" s="45"/>
      <c r="AM9" s="45"/>
      <c r="AN9" s="45"/>
      <c r="AO9" s="45"/>
      <c r="AP9" s="45"/>
      <c r="AQ9" s="45"/>
      <c r="AR9" s="45"/>
      <c r="AS9" s="43"/>
      <c r="AT9" s="43"/>
      <c r="AU9" s="43"/>
      <c r="AV9" s="43"/>
      <c r="AW9" s="43"/>
      <c r="AX9" s="43"/>
      <c r="AZ9" s="43"/>
      <c r="BA9" s="43"/>
      <c r="BB9" s="43"/>
      <c r="BC9" s="43"/>
      <c r="BD9" s="43"/>
      <c r="BE9" s="43"/>
      <c r="BF9" s="43"/>
      <c r="BG9" s="43"/>
      <c r="BH9" s="43"/>
    </row>
    <row r="10" spans="2:272" ht="13.8" customHeight="1" x14ac:dyDescent="0.25"/>
    <row r="11" spans="2:272" ht="13.8" customHeight="1" x14ac:dyDescent="0.25">
      <c r="B11" s="7" t="s">
        <v>445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9"/>
    </row>
    <row r="12" spans="2:272" x14ac:dyDescent="0.25">
      <c r="B12" s="248"/>
      <c r="C12" s="288"/>
      <c r="D12" s="288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88" t="s">
        <v>237</v>
      </c>
      <c r="T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E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</row>
    <row r="13" spans="2:272" x14ac:dyDescent="0.25">
      <c r="B13" s="26"/>
      <c r="C13" s="28"/>
      <c r="D13" s="28"/>
      <c r="E13" s="27"/>
      <c r="F13" s="72" t="s">
        <v>498</v>
      </c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90" t="s">
        <v>210</v>
      </c>
    </row>
    <row r="14" spans="2:272" x14ac:dyDescent="0.25">
      <c r="B14" s="72"/>
      <c r="C14" s="65"/>
      <c r="D14" s="65"/>
      <c r="E14" s="73"/>
      <c r="F14" s="85">
        <v>1</v>
      </c>
      <c r="G14" s="29">
        <v>2</v>
      </c>
      <c r="H14" s="29">
        <v>3</v>
      </c>
      <c r="I14" s="29">
        <v>4</v>
      </c>
      <c r="J14" s="29">
        <v>5</v>
      </c>
      <c r="K14" s="29">
        <v>6</v>
      </c>
      <c r="L14" s="29">
        <v>7</v>
      </c>
      <c r="M14" s="29">
        <v>8</v>
      </c>
      <c r="N14" s="29">
        <v>9</v>
      </c>
      <c r="O14" s="29">
        <v>10</v>
      </c>
      <c r="P14" s="29">
        <v>11</v>
      </c>
      <c r="Q14" s="29">
        <v>12</v>
      </c>
      <c r="R14" s="32">
        <v>13</v>
      </c>
      <c r="S14" s="149">
        <v>3</v>
      </c>
    </row>
    <row r="15" spans="2:272" x14ac:dyDescent="0.25">
      <c r="B15" s="26" t="s">
        <v>318</v>
      </c>
      <c r="C15" s="28"/>
      <c r="D15" s="28"/>
      <c r="E15" s="27"/>
      <c r="F15" s="290"/>
      <c r="G15" s="291" t="s">
        <v>322</v>
      </c>
      <c r="H15" s="291" t="s">
        <v>322</v>
      </c>
      <c r="I15" s="291" t="s">
        <v>322</v>
      </c>
      <c r="J15" s="291" t="s">
        <v>322</v>
      </c>
      <c r="K15" s="291" t="s">
        <v>322</v>
      </c>
      <c r="L15" s="291" t="s">
        <v>322</v>
      </c>
      <c r="M15" s="291"/>
      <c r="N15" s="291"/>
      <c r="O15" s="291"/>
      <c r="P15" s="291"/>
      <c r="Q15" s="291"/>
      <c r="R15" s="292"/>
      <c r="S15" s="43"/>
    </row>
    <row r="16" spans="2:272" x14ac:dyDescent="0.25">
      <c r="B16" s="40" t="s">
        <v>296</v>
      </c>
      <c r="C16" s="43"/>
      <c r="D16" s="43"/>
      <c r="E16" s="41"/>
      <c r="F16" s="293"/>
      <c r="G16" s="294" t="s">
        <v>515</v>
      </c>
      <c r="H16" s="294" t="s">
        <v>515</v>
      </c>
      <c r="I16" s="294" t="s">
        <v>515</v>
      </c>
      <c r="J16" s="294" t="s">
        <v>515</v>
      </c>
      <c r="K16" s="294" t="s">
        <v>515</v>
      </c>
      <c r="L16" s="294" t="s">
        <v>515</v>
      </c>
      <c r="M16" s="294"/>
      <c r="N16" s="294"/>
      <c r="O16" s="294"/>
      <c r="P16" s="294"/>
      <c r="Q16" s="294"/>
      <c r="R16" s="295"/>
      <c r="S16" s="43"/>
    </row>
    <row r="17" spans="1:271" x14ac:dyDescent="0.25">
      <c r="B17" s="40" t="s">
        <v>446</v>
      </c>
      <c r="C17" s="43"/>
      <c r="D17" s="43"/>
      <c r="E17" s="41"/>
      <c r="F17" s="293"/>
      <c r="G17" s="294" t="s">
        <v>455</v>
      </c>
      <c r="H17" s="294" t="s">
        <v>455</v>
      </c>
      <c r="I17" s="294" t="s">
        <v>455</v>
      </c>
      <c r="J17" s="294" t="s">
        <v>455</v>
      </c>
      <c r="K17" s="294" t="s">
        <v>455</v>
      </c>
      <c r="L17" s="294" t="s">
        <v>455</v>
      </c>
      <c r="M17" s="294"/>
      <c r="N17" s="294"/>
      <c r="O17" s="294"/>
      <c r="P17" s="294"/>
      <c r="Q17" s="294"/>
      <c r="R17" s="295"/>
      <c r="S17" s="43"/>
    </row>
    <row r="18" spans="1:271" x14ac:dyDescent="0.25">
      <c r="B18" s="40" t="s">
        <v>239</v>
      </c>
      <c r="C18" s="43"/>
      <c r="D18" s="43"/>
      <c r="E18" s="41"/>
      <c r="F18" s="132"/>
      <c r="G18" s="296">
        <v>4.9980000000000002</v>
      </c>
      <c r="H18" s="296">
        <v>4.9980000000000002</v>
      </c>
      <c r="I18" s="296">
        <v>4.9980000000000002</v>
      </c>
      <c r="J18" s="296">
        <v>4.9980000000000002</v>
      </c>
      <c r="K18" s="296">
        <v>4.9980000000000002</v>
      </c>
      <c r="L18" s="296">
        <v>4.9980000000000002</v>
      </c>
      <c r="M18" s="296"/>
      <c r="N18" s="296"/>
      <c r="O18" s="296"/>
      <c r="P18" s="296"/>
      <c r="Q18" s="296"/>
      <c r="R18" s="297"/>
      <c r="S18" s="43"/>
    </row>
    <row r="19" spans="1:271" x14ac:dyDescent="0.25">
      <c r="B19" s="40" t="s">
        <v>319</v>
      </c>
      <c r="C19" s="43"/>
      <c r="D19" s="43"/>
      <c r="E19" s="41"/>
      <c r="F19" s="132"/>
      <c r="G19" s="296">
        <v>0.49980000000000002</v>
      </c>
      <c r="H19" s="296">
        <v>0.49980000000000002</v>
      </c>
      <c r="I19" s="296">
        <v>0.49980000000000002</v>
      </c>
      <c r="J19" s="296">
        <v>0.49980000000000002</v>
      </c>
      <c r="K19" s="296">
        <v>0.49980000000000002</v>
      </c>
      <c r="L19" s="296">
        <v>0.49980000000000002</v>
      </c>
      <c r="M19" s="296"/>
      <c r="N19" s="296"/>
      <c r="O19" s="296"/>
      <c r="P19" s="296"/>
      <c r="Q19" s="296"/>
      <c r="R19" s="297"/>
      <c r="S19" s="43"/>
    </row>
    <row r="20" spans="1:271" x14ac:dyDescent="0.25">
      <c r="B20" s="63" t="s">
        <v>320</v>
      </c>
      <c r="C20" s="65"/>
      <c r="D20" s="65"/>
      <c r="E20" s="73"/>
      <c r="F20" s="271"/>
      <c r="G20" s="67">
        <v>1</v>
      </c>
      <c r="H20" s="67">
        <v>2</v>
      </c>
      <c r="I20" s="67">
        <v>3</v>
      </c>
      <c r="J20" s="67">
        <v>4</v>
      </c>
      <c r="K20" s="67">
        <v>5</v>
      </c>
      <c r="L20" s="67">
        <v>6</v>
      </c>
      <c r="M20" s="67"/>
      <c r="N20" s="67"/>
      <c r="O20" s="67"/>
      <c r="P20" s="67"/>
      <c r="Q20" s="67"/>
      <c r="R20" s="82"/>
      <c r="S20" s="43"/>
    </row>
    <row r="21" spans="1:271" x14ac:dyDescent="0.25">
      <c r="B21" s="26" t="s">
        <v>236</v>
      </c>
      <c r="C21" s="28"/>
      <c r="D21" s="28"/>
      <c r="E21" s="28"/>
      <c r="F21" s="298"/>
      <c r="G21" s="299">
        <v>5.7639469035055528</v>
      </c>
      <c r="H21" s="299">
        <v>8.0770882091518157</v>
      </c>
      <c r="I21" s="299">
        <v>7.3128253148884506</v>
      </c>
      <c r="J21" s="299">
        <v>6.472941264947047</v>
      </c>
      <c r="K21" s="299">
        <v>5.7443508299459856</v>
      </c>
      <c r="L21" s="299">
        <v>4.752376569896561</v>
      </c>
      <c r="M21" s="299"/>
      <c r="N21" s="299"/>
      <c r="O21" s="299"/>
      <c r="P21" s="299"/>
      <c r="Q21" s="299"/>
      <c r="R21" s="300"/>
      <c r="S21" s="43"/>
    </row>
    <row r="22" spans="1:271" x14ac:dyDescent="0.25">
      <c r="B22" s="40" t="s">
        <v>238</v>
      </c>
      <c r="C22" s="43"/>
      <c r="D22" s="43"/>
      <c r="E22" s="43"/>
      <c r="F22" s="301"/>
      <c r="G22" s="296">
        <v>0.57639469035055524</v>
      </c>
      <c r="H22" s="296">
        <v>0.80770882091518159</v>
      </c>
      <c r="I22" s="296">
        <v>0.73128253148884503</v>
      </c>
      <c r="J22" s="296">
        <v>0.64729412649470475</v>
      </c>
      <c r="K22" s="296">
        <v>0.57443508299459856</v>
      </c>
      <c r="L22" s="296">
        <v>0.47523765698965609</v>
      </c>
      <c r="M22" s="296"/>
      <c r="N22" s="296"/>
      <c r="O22" s="296"/>
      <c r="P22" s="296"/>
      <c r="Q22" s="296"/>
      <c r="R22" s="297"/>
      <c r="S22" s="43"/>
    </row>
    <row r="23" spans="1:271" x14ac:dyDescent="0.25">
      <c r="B23" s="40" t="s">
        <v>240</v>
      </c>
      <c r="C23" s="43"/>
      <c r="D23" s="43"/>
      <c r="E23" s="43"/>
      <c r="F23" s="301"/>
      <c r="G23" s="296">
        <v>1.1532506809734999</v>
      </c>
      <c r="H23" s="296">
        <v>1.6160640674573461</v>
      </c>
      <c r="I23" s="296">
        <v>1.4631503231069327</v>
      </c>
      <c r="J23" s="296">
        <v>1.2951062955076125</v>
      </c>
      <c r="K23" s="296">
        <v>1.1493298979483764</v>
      </c>
      <c r="L23" s="296">
        <v>0.9508556562418089</v>
      </c>
      <c r="M23" s="296"/>
      <c r="N23" s="296"/>
      <c r="O23" s="296"/>
      <c r="P23" s="296"/>
      <c r="Q23" s="296"/>
      <c r="R23" s="297"/>
      <c r="S23" s="43"/>
    </row>
    <row r="24" spans="1:271" x14ac:dyDescent="0.25">
      <c r="B24" s="72" t="s">
        <v>223</v>
      </c>
      <c r="C24" s="65"/>
      <c r="D24" s="65"/>
      <c r="E24" s="65"/>
      <c r="F24" s="412"/>
      <c r="G24" s="413">
        <v>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/>
      <c r="N24" s="413"/>
      <c r="O24" s="413"/>
      <c r="P24" s="413"/>
      <c r="Q24" s="413"/>
      <c r="R24" s="414"/>
      <c r="S24" s="43"/>
    </row>
    <row r="25" spans="1:271" x14ac:dyDescent="0.25">
      <c r="A25" s="4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</row>
    <row r="27" spans="1:271" x14ac:dyDescent="0.25">
      <c r="B27" s="7" t="s">
        <v>241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9"/>
    </row>
    <row r="28" spans="1:271" x14ac:dyDescent="0.25">
      <c r="B28" s="19"/>
      <c r="C28" s="33"/>
      <c r="D28" s="33"/>
      <c r="E28" s="34"/>
      <c r="F28" s="19" t="s">
        <v>224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  <c r="Z28" s="19" t="s">
        <v>225</v>
      </c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4"/>
      <c r="AT28" s="19" t="s">
        <v>226</v>
      </c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4"/>
      <c r="BN28" s="19" t="s">
        <v>227</v>
      </c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4"/>
      <c r="CH28" s="19" t="s">
        <v>228</v>
      </c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4"/>
      <c r="DB28" s="19" t="s">
        <v>229</v>
      </c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4"/>
      <c r="DV28" s="19" t="s">
        <v>230</v>
      </c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4"/>
      <c r="EP28" s="19" t="s">
        <v>231</v>
      </c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/>
      <c r="FI28" s="34"/>
      <c r="FJ28" s="19" t="s">
        <v>232</v>
      </c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4"/>
      <c r="GD28" s="19" t="s">
        <v>233</v>
      </c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4"/>
      <c r="GX28" s="19" t="s">
        <v>234</v>
      </c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4"/>
      <c r="HR28" s="19" t="s">
        <v>235</v>
      </c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4"/>
      <c r="IL28" s="19" t="s">
        <v>324</v>
      </c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/>
      <c r="JA28" s="33"/>
      <c r="JB28" s="33"/>
      <c r="JC28" s="33"/>
      <c r="JD28" s="33"/>
      <c r="JE28" s="34"/>
    </row>
    <row r="29" spans="1:271" x14ac:dyDescent="0.25">
      <c r="B29" s="101" t="s">
        <v>6</v>
      </c>
      <c r="C29" s="26"/>
      <c r="D29" s="28"/>
      <c r="E29" s="27"/>
      <c r="F29" s="19" t="s">
        <v>118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4"/>
      <c r="Z29" s="19" t="s">
        <v>118</v>
      </c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4"/>
      <c r="AT29" s="19" t="s">
        <v>118</v>
      </c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4"/>
      <c r="BN29" s="19" t="s">
        <v>118</v>
      </c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4"/>
      <c r="CH29" s="19" t="s">
        <v>118</v>
      </c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4"/>
      <c r="DB29" s="19" t="s">
        <v>118</v>
      </c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4"/>
      <c r="DV29" s="19" t="s">
        <v>118</v>
      </c>
      <c r="DW29" s="33"/>
      <c r="DX29" s="33"/>
      <c r="DY29" s="33"/>
      <c r="DZ29" s="33"/>
      <c r="EA29" s="33"/>
      <c r="EB29" s="33"/>
      <c r="EC29" s="33"/>
      <c r="ED29" s="33"/>
      <c r="EE29" s="33"/>
      <c r="EF29" s="33"/>
      <c r="EG29" s="33"/>
      <c r="EH29" s="33"/>
      <c r="EI29" s="33"/>
      <c r="EJ29" s="33"/>
      <c r="EK29" s="33"/>
      <c r="EL29" s="33"/>
      <c r="EM29" s="33"/>
      <c r="EN29" s="33"/>
      <c r="EO29" s="34"/>
      <c r="EP29" s="19" t="s">
        <v>118</v>
      </c>
      <c r="EQ29" s="33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3"/>
      <c r="FE29" s="33"/>
      <c r="FF29" s="33"/>
      <c r="FG29" s="33"/>
      <c r="FH29" s="33"/>
      <c r="FI29" s="34"/>
      <c r="FJ29" s="19" t="s">
        <v>118</v>
      </c>
      <c r="FK29" s="33"/>
      <c r="FL29" s="33"/>
      <c r="FM29" s="33"/>
      <c r="FN29" s="33"/>
      <c r="FO29" s="33"/>
      <c r="FP29" s="33"/>
      <c r="FQ29" s="33"/>
      <c r="FR29" s="33"/>
      <c r="FS29" s="33"/>
      <c r="FT29" s="33"/>
      <c r="FU29" s="33"/>
      <c r="FV29" s="33"/>
      <c r="FW29" s="33"/>
      <c r="FX29" s="33"/>
      <c r="FY29" s="33"/>
      <c r="FZ29" s="33"/>
      <c r="GA29" s="33"/>
      <c r="GB29" s="33"/>
      <c r="GC29" s="34"/>
      <c r="GD29" s="19" t="s">
        <v>118</v>
      </c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33"/>
      <c r="GP29" s="33"/>
      <c r="GQ29" s="33"/>
      <c r="GR29" s="33"/>
      <c r="GS29" s="33"/>
      <c r="GT29" s="33"/>
      <c r="GU29" s="33"/>
      <c r="GV29" s="33"/>
      <c r="GW29" s="34"/>
      <c r="GX29" s="19" t="s">
        <v>118</v>
      </c>
      <c r="GY29" s="33"/>
      <c r="GZ29" s="33"/>
      <c r="HA29" s="33"/>
      <c r="HB29" s="33"/>
      <c r="HC29" s="33"/>
      <c r="HD29" s="33"/>
      <c r="HE29" s="33"/>
      <c r="HF29" s="33"/>
      <c r="HG29" s="33"/>
      <c r="HH29" s="33"/>
      <c r="HI29" s="33"/>
      <c r="HJ29" s="33"/>
      <c r="HK29" s="33"/>
      <c r="HL29" s="33"/>
      <c r="HM29" s="33"/>
      <c r="HN29" s="33"/>
      <c r="HO29" s="33"/>
      <c r="HP29" s="33"/>
      <c r="HQ29" s="34"/>
      <c r="HR29" s="19" t="s">
        <v>118</v>
      </c>
      <c r="HS29" s="33"/>
      <c r="HT29" s="33"/>
      <c r="HU29" s="33"/>
      <c r="HV29" s="33"/>
      <c r="HW29" s="33"/>
      <c r="HX29" s="33"/>
      <c r="HY29" s="33"/>
      <c r="HZ29" s="33"/>
      <c r="IA29" s="33"/>
      <c r="IB29" s="33"/>
      <c r="IC29" s="33"/>
      <c r="ID29" s="33"/>
      <c r="IE29" s="33"/>
      <c r="IF29" s="33"/>
      <c r="IG29" s="33"/>
      <c r="IH29" s="33"/>
      <c r="II29" s="33"/>
      <c r="IJ29" s="33"/>
      <c r="IK29" s="34"/>
      <c r="IL29" s="19" t="s">
        <v>118</v>
      </c>
      <c r="IM29" s="33"/>
      <c r="IN29" s="33"/>
      <c r="IO29" s="33"/>
      <c r="IP29" s="33"/>
      <c r="IQ29" s="33"/>
      <c r="IR29" s="33"/>
      <c r="IS29" s="33"/>
      <c r="IT29" s="33"/>
      <c r="IU29" s="33"/>
      <c r="IV29" s="33"/>
      <c r="IW29" s="33"/>
      <c r="IX29" s="33"/>
      <c r="IY29" s="33"/>
      <c r="IZ29" s="33"/>
      <c r="JA29" s="33"/>
      <c r="JB29" s="33"/>
      <c r="JC29" s="33"/>
      <c r="JD29" s="33"/>
      <c r="JE29" s="34"/>
    </row>
    <row r="30" spans="1:271" x14ac:dyDescent="0.25">
      <c r="B30" s="102" t="s">
        <v>242</v>
      </c>
      <c r="C30" s="72"/>
      <c r="D30" s="43"/>
      <c r="E30" s="41"/>
      <c r="F30" s="87">
        <v>1</v>
      </c>
      <c r="G30" s="67">
        <v>2</v>
      </c>
      <c r="H30" s="67">
        <v>3</v>
      </c>
      <c r="I30" s="67">
        <v>4</v>
      </c>
      <c r="J30" s="67">
        <v>5</v>
      </c>
      <c r="K30" s="67">
        <v>6</v>
      </c>
      <c r="L30" s="67">
        <v>7</v>
      </c>
      <c r="M30" s="67">
        <v>8</v>
      </c>
      <c r="N30" s="67">
        <v>9</v>
      </c>
      <c r="O30" s="67">
        <v>10</v>
      </c>
      <c r="P30" s="67">
        <v>11</v>
      </c>
      <c r="Q30" s="67">
        <v>12</v>
      </c>
      <c r="R30" s="67">
        <v>13</v>
      </c>
      <c r="S30" s="67">
        <v>14</v>
      </c>
      <c r="T30" s="67">
        <v>15</v>
      </c>
      <c r="U30" s="67">
        <v>16</v>
      </c>
      <c r="V30" s="67">
        <v>17</v>
      </c>
      <c r="W30" s="67">
        <v>18</v>
      </c>
      <c r="X30" s="67">
        <v>19</v>
      </c>
      <c r="Y30" s="82">
        <v>20</v>
      </c>
      <c r="Z30" s="87">
        <v>1</v>
      </c>
      <c r="AA30" s="67">
        <v>2</v>
      </c>
      <c r="AB30" s="67">
        <v>3</v>
      </c>
      <c r="AC30" s="67">
        <v>4</v>
      </c>
      <c r="AD30" s="67">
        <v>5</v>
      </c>
      <c r="AE30" s="67">
        <v>6</v>
      </c>
      <c r="AF30" s="67">
        <v>7</v>
      </c>
      <c r="AG30" s="67">
        <v>8</v>
      </c>
      <c r="AH30" s="67">
        <v>9</v>
      </c>
      <c r="AI30" s="67">
        <v>10</v>
      </c>
      <c r="AJ30" s="67">
        <v>11</v>
      </c>
      <c r="AK30" s="67">
        <v>12</v>
      </c>
      <c r="AL30" s="67">
        <v>13</v>
      </c>
      <c r="AM30" s="67">
        <v>14</v>
      </c>
      <c r="AN30" s="67">
        <v>15</v>
      </c>
      <c r="AO30" s="67">
        <v>16</v>
      </c>
      <c r="AP30" s="67">
        <v>17</v>
      </c>
      <c r="AQ30" s="67">
        <v>18</v>
      </c>
      <c r="AR30" s="67">
        <v>19</v>
      </c>
      <c r="AS30" s="82">
        <v>20</v>
      </c>
      <c r="AT30" s="87">
        <v>1</v>
      </c>
      <c r="AU30" s="67">
        <v>2</v>
      </c>
      <c r="AV30" s="67">
        <v>3</v>
      </c>
      <c r="AW30" s="67">
        <v>4</v>
      </c>
      <c r="AX30" s="67">
        <v>5</v>
      </c>
      <c r="AY30" s="67">
        <v>6</v>
      </c>
      <c r="AZ30" s="67">
        <v>7</v>
      </c>
      <c r="BA30" s="67">
        <v>8</v>
      </c>
      <c r="BB30" s="67">
        <v>9</v>
      </c>
      <c r="BC30" s="67">
        <v>10</v>
      </c>
      <c r="BD30" s="67">
        <v>11</v>
      </c>
      <c r="BE30" s="67">
        <v>12</v>
      </c>
      <c r="BF30" s="67">
        <v>13</v>
      </c>
      <c r="BG30" s="67">
        <v>14</v>
      </c>
      <c r="BH30" s="67">
        <v>15</v>
      </c>
      <c r="BI30" s="67">
        <v>16</v>
      </c>
      <c r="BJ30" s="67">
        <v>17</v>
      </c>
      <c r="BK30" s="67">
        <v>18</v>
      </c>
      <c r="BL30" s="67">
        <v>19</v>
      </c>
      <c r="BM30" s="82">
        <v>20</v>
      </c>
      <c r="BN30" s="87">
        <v>1</v>
      </c>
      <c r="BO30" s="67">
        <v>2</v>
      </c>
      <c r="BP30" s="67">
        <v>3</v>
      </c>
      <c r="BQ30" s="67">
        <v>4</v>
      </c>
      <c r="BR30" s="67">
        <v>5</v>
      </c>
      <c r="BS30" s="67">
        <v>6</v>
      </c>
      <c r="BT30" s="67">
        <v>7</v>
      </c>
      <c r="BU30" s="67">
        <v>8</v>
      </c>
      <c r="BV30" s="67">
        <v>9</v>
      </c>
      <c r="BW30" s="67">
        <v>10</v>
      </c>
      <c r="BX30" s="67">
        <v>11</v>
      </c>
      <c r="BY30" s="67">
        <v>12</v>
      </c>
      <c r="BZ30" s="67">
        <v>13</v>
      </c>
      <c r="CA30" s="67">
        <v>14</v>
      </c>
      <c r="CB30" s="67">
        <v>15</v>
      </c>
      <c r="CC30" s="67">
        <v>16</v>
      </c>
      <c r="CD30" s="67">
        <v>17</v>
      </c>
      <c r="CE30" s="67">
        <v>18</v>
      </c>
      <c r="CF30" s="67">
        <v>19</v>
      </c>
      <c r="CG30" s="82">
        <v>20</v>
      </c>
      <c r="CH30" s="87">
        <v>1</v>
      </c>
      <c r="CI30" s="67">
        <v>2</v>
      </c>
      <c r="CJ30" s="67">
        <v>3</v>
      </c>
      <c r="CK30" s="67">
        <v>4</v>
      </c>
      <c r="CL30" s="67">
        <v>5</v>
      </c>
      <c r="CM30" s="67">
        <v>6</v>
      </c>
      <c r="CN30" s="67">
        <v>7</v>
      </c>
      <c r="CO30" s="67">
        <v>8</v>
      </c>
      <c r="CP30" s="67">
        <v>9</v>
      </c>
      <c r="CQ30" s="67">
        <v>10</v>
      </c>
      <c r="CR30" s="67">
        <v>11</v>
      </c>
      <c r="CS30" s="67">
        <v>12</v>
      </c>
      <c r="CT30" s="67">
        <v>13</v>
      </c>
      <c r="CU30" s="67">
        <v>14</v>
      </c>
      <c r="CV30" s="67">
        <v>15</v>
      </c>
      <c r="CW30" s="67">
        <v>16</v>
      </c>
      <c r="CX30" s="67">
        <v>17</v>
      </c>
      <c r="CY30" s="67">
        <v>18</v>
      </c>
      <c r="CZ30" s="44">
        <v>19</v>
      </c>
      <c r="DA30" s="82">
        <v>20</v>
      </c>
      <c r="DB30" s="87">
        <v>1</v>
      </c>
      <c r="DC30" s="67">
        <v>2</v>
      </c>
      <c r="DD30" s="67">
        <v>3</v>
      </c>
      <c r="DE30" s="67">
        <v>4</v>
      </c>
      <c r="DF30" s="67">
        <v>5</v>
      </c>
      <c r="DG30" s="67">
        <v>6</v>
      </c>
      <c r="DH30" s="67">
        <v>7</v>
      </c>
      <c r="DI30" s="67">
        <v>8</v>
      </c>
      <c r="DJ30" s="67">
        <v>9</v>
      </c>
      <c r="DK30" s="67">
        <v>10</v>
      </c>
      <c r="DL30" s="67">
        <v>11</v>
      </c>
      <c r="DM30" s="67">
        <v>12</v>
      </c>
      <c r="DN30" s="67">
        <v>13</v>
      </c>
      <c r="DO30" s="67">
        <v>14</v>
      </c>
      <c r="DP30" s="67">
        <v>15</v>
      </c>
      <c r="DQ30" s="67">
        <v>16</v>
      </c>
      <c r="DR30" s="67">
        <v>17</v>
      </c>
      <c r="DS30" s="67">
        <v>18</v>
      </c>
      <c r="DT30" s="44">
        <v>19</v>
      </c>
      <c r="DU30" s="82">
        <v>20</v>
      </c>
      <c r="DV30" s="87">
        <v>1</v>
      </c>
      <c r="DW30" s="67">
        <v>2</v>
      </c>
      <c r="DX30" s="67">
        <v>3</v>
      </c>
      <c r="DY30" s="67">
        <v>4</v>
      </c>
      <c r="DZ30" s="67">
        <v>5</v>
      </c>
      <c r="EA30" s="67">
        <v>6</v>
      </c>
      <c r="EB30" s="67">
        <v>7</v>
      </c>
      <c r="EC30" s="67">
        <v>8</v>
      </c>
      <c r="ED30" s="67">
        <v>9</v>
      </c>
      <c r="EE30" s="67">
        <v>10</v>
      </c>
      <c r="EF30" s="67">
        <v>11</v>
      </c>
      <c r="EG30" s="67">
        <v>12</v>
      </c>
      <c r="EH30" s="67">
        <v>13</v>
      </c>
      <c r="EI30" s="67">
        <v>14</v>
      </c>
      <c r="EJ30" s="67">
        <v>15</v>
      </c>
      <c r="EK30" s="67">
        <v>16</v>
      </c>
      <c r="EL30" s="67">
        <v>17</v>
      </c>
      <c r="EM30" s="67">
        <v>18</v>
      </c>
      <c r="EN30" s="67">
        <v>19</v>
      </c>
      <c r="EO30" s="82">
        <v>20</v>
      </c>
      <c r="EP30" s="87">
        <v>1</v>
      </c>
      <c r="EQ30" s="67">
        <v>2</v>
      </c>
      <c r="ER30" s="67">
        <v>3</v>
      </c>
      <c r="ES30" s="67">
        <v>4</v>
      </c>
      <c r="ET30" s="67">
        <v>5</v>
      </c>
      <c r="EU30" s="67">
        <v>6</v>
      </c>
      <c r="EV30" s="67">
        <v>7</v>
      </c>
      <c r="EW30" s="67">
        <v>8</v>
      </c>
      <c r="EX30" s="67">
        <v>9</v>
      </c>
      <c r="EY30" s="67">
        <v>10</v>
      </c>
      <c r="EZ30" s="67">
        <v>11</v>
      </c>
      <c r="FA30" s="67">
        <v>12</v>
      </c>
      <c r="FB30" s="67">
        <v>13</v>
      </c>
      <c r="FC30" s="67">
        <v>14</v>
      </c>
      <c r="FD30" s="67">
        <v>15</v>
      </c>
      <c r="FE30" s="67">
        <v>16</v>
      </c>
      <c r="FF30" s="67">
        <v>17</v>
      </c>
      <c r="FG30" s="67">
        <v>18</v>
      </c>
      <c r="FH30" s="67">
        <v>19</v>
      </c>
      <c r="FI30" s="82">
        <v>20</v>
      </c>
      <c r="FJ30" s="87">
        <v>1</v>
      </c>
      <c r="FK30" s="67">
        <v>2</v>
      </c>
      <c r="FL30" s="67">
        <v>3</v>
      </c>
      <c r="FM30" s="67">
        <v>4</v>
      </c>
      <c r="FN30" s="67">
        <v>5</v>
      </c>
      <c r="FO30" s="67">
        <v>6</v>
      </c>
      <c r="FP30" s="67">
        <v>7</v>
      </c>
      <c r="FQ30" s="67">
        <v>8</v>
      </c>
      <c r="FR30" s="67">
        <v>9</v>
      </c>
      <c r="FS30" s="67">
        <v>10</v>
      </c>
      <c r="FT30" s="67">
        <v>11</v>
      </c>
      <c r="FU30" s="67">
        <v>12</v>
      </c>
      <c r="FV30" s="67">
        <v>13</v>
      </c>
      <c r="FW30" s="67">
        <v>14</v>
      </c>
      <c r="FX30" s="67">
        <v>15</v>
      </c>
      <c r="FY30" s="67">
        <v>16</v>
      </c>
      <c r="FZ30" s="67">
        <v>17</v>
      </c>
      <c r="GA30" s="67">
        <v>18</v>
      </c>
      <c r="GB30" s="67">
        <v>19</v>
      </c>
      <c r="GC30" s="82">
        <v>20</v>
      </c>
      <c r="GD30" s="87">
        <v>1</v>
      </c>
      <c r="GE30" s="67">
        <v>2</v>
      </c>
      <c r="GF30" s="67">
        <v>3</v>
      </c>
      <c r="GG30" s="67">
        <v>4</v>
      </c>
      <c r="GH30" s="67">
        <v>5</v>
      </c>
      <c r="GI30" s="67">
        <v>6</v>
      </c>
      <c r="GJ30" s="67">
        <v>7</v>
      </c>
      <c r="GK30" s="67">
        <v>8</v>
      </c>
      <c r="GL30" s="67">
        <v>9</v>
      </c>
      <c r="GM30" s="67">
        <v>10</v>
      </c>
      <c r="GN30" s="67">
        <v>11</v>
      </c>
      <c r="GO30" s="67">
        <v>12</v>
      </c>
      <c r="GP30" s="67">
        <v>13</v>
      </c>
      <c r="GQ30" s="67">
        <v>14</v>
      </c>
      <c r="GR30" s="67">
        <v>15</v>
      </c>
      <c r="GS30" s="67">
        <v>16</v>
      </c>
      <c r="GT30" s="67">
        <v>17</v>
      </c>
      <c r="GU30" s="67">
        <v>18</v>
      </c>
      <c r="GV30" s="67">
        <v>19</v>
      </c>
      <c r="GW30" s="82">
        <v>20</v>
      </c>
      <c r="GX30" s="87">
        <v>1</v>
      </c>
      <c r="GY30" s="67">
        <v>2</v>
      </c>
      <c r="GZ30" s="67">
        <v>3</v>
      </c>
      <c r="HA30" s="67">
        <v>4</v>
      </c>
      <c r="HB30" s="67">
        <v>5</v>
      </c>
      <c r="HC30" s="67">
        <v>6</v>
      </c>
      <c r="HD30" s="67">
        <v>7</v>
      </c>
      <c r="HE30" s="67">
        <v>8</v>
      </c>
      <c r="HF30" s="67">
        <v>9</v>
      </c>
      <c r="HG30" s="67">
        <v>10</v>
      </c>
      <c r="HH30" s="67">
        <v>11</v>
      </c>
      <c r="HI30" s="67">
        <v>12</v>
      </c>
      <c r="HJ30" s="67">
        <v>13</v>
      </c>
      <c r="HK30" s="67">
        <v>14</v>
      </c>
      <c r="HL30" s="67">
        <v>15</v>
      </c>
      <c r="HM30" s="67">
        <v>16</v>
      </c>
      <c r="HN30" s="67">
        <v>17</v>
      </c>
      <c r="HO30" s="67">
        <v>18</v>
      </c>
      <c r="HP30" s="67">
        <v>19</v>
      </c>
      <c r="HQ30" s="82">
        <v>20</v>
      </c>
      <c r="HR30" s="87">
        <v>1</v>
      </c>
      <c r="HS30" s="67">
        <v>2</v>
      </c>
      <c r="HT30" s="67">
        <v>3</v>
      </c>
      <c r="HU30" s="67">
        <v>4</v>
      </c>
      <c r="HV30" s="67">
        <v>5</v>
      </c>
      <c r="HW30" s="67">
        <v>6</v>
      </c>
      <c r="HX30" s="67">
        <v>7</v>
      </c>
      <c r="HY30" s="67">
        <v>8</v>
      </c>
      <c r="HZ30" s="67">
        <v>9</v>
      </c>
      <c r="IA30" s="67">
        <v>10</v>
      </c>
      <c r="IB30" s="67">
        <v>11</v>
      </c>
      <c r="IC30" s="67">
        <v>12</v>
      </c>
      <c r="ID30" s="67">
        <v>13</v>
      </c>
      <c r="IE30" s="67">
        <v>14</v>
      </c>
      <c r="IF30" s="67">
        <v>15</v>
      </c>
      <c r="IG30" s="67">
        <v>16</v>
      </c>
      <c r="IH30" s="67">
        <v>17</v>
      </c>
      <c r="II30" s="67">
        <v>18</v>
      </c>
      <c r="IJ30" s="67">
        <v>19</v>
      </c>
      <c r="IK30" s="82">
        <v>20</v>
      </c>
      <c r="IL30" s="87">
        <v>1</v>
      </c>
      <c r="IM30" s="67">
        <v>2</v>
      </c>
      <c r="IN30" s="67">
        <v>3</v>
      </c>
      <c r="IO30" s="67">
        <v>4</v>
      </c>
      <c r="IP30" s="67">
        <v>5</v>
      </c>
      <c r="IQ30" s="67">
        <v>6</v>
      </c>
      <c r="IR30" s="67">
        <v>7</v>
      </c>
      <c r="IS30" s="67">
        <v>8</v>
      </c>
      <c r="IT30" s="67">
        <v>9</v>
      </c>
      <c r="IU30" s="67">
        <v>10</v>
      </c>
      <c r="IV30" s="67">
        <v>11</v>
      </c>
      <c r="IW30" s="67">
        <v>12</v>
      </c>
      <c r="IX30" s="67">
        <v>13</v>
      </c>
      <c r="IY30" s="67">
        <v>14</v>
      </c>
      <c r="IZ30" s="67">
        <v>15</v>
      </c>
      <c r="JA30" s="67">
        <v>16</v>
      </c>
      <c r="JB30" s="67">
        <v>17</v>
      </c>
      <c r="JC30" s="67">
        <v>18</v>
      </c>
      <c r="JD30" s="67">
        <v>19</v>
      </c>
      <c r="JE30" s="82">
        <v>20</v>
      </c>
    </row>
    <row r="31" spans="1:271" x14ac:dyDescent="0.25">
      <c r="B31" s="102" t="s">
        <v>205</v>
      </c>
      <c r="C31" s="26" t="s">
        <v>198</v>
      </c>
      <c r="D31" s="26" t="s">
        <v>91</v>
      </c>
      <c r="E31" s="101" t="s">
        <v>101</v>
      </c>
      <c r="F31" s="202">
        <v>0</v>
      </c>
      <c r="G31" s="202">
        <v>0</v>
      </c>
      <c r="H31" s="202">
        <v>0</v>
      </c>
      <c r="I31" s="202">
        <v>0</v>
      </c>
      <c r="J31" s="202">
        <v>0</v>
      </c>
      <c r="K31" s="202">
        <v>0</v>
      </c>
      <c r="L31" s="202">
        <v>0</v>
      </c>
      <c r="M31" s="202">
        <v>0</v>
      </c>
      <c r="N31" s="202">
        <v>0</v>
      </c>
      <c r="O31" s="202">
        <v>0</v>
      </c>
      <c r="P31" s="202">
        <v>0</v>
      </c>
      <c r="Q31" s="202">
        <v>0</v>
      </c>
      <c r="R31" s="202">
        <v>0</v>
      </c>
      <c r="S31" s="202">
        <v>0</v>
      </c>
      <c r="T31" s="202">
        <v>0</v>
      </c>
      <c r="U31" s="202">
        <v>0</v>
      </c>
      <c r="V31" s="202">
        <v>0</v>
      </c>
      <c r="W31" s="202">
        <v>0</v>
      </c>
      <c r="X31" s="202">
        <v>0</v>
      </c>
      <c r="Y31" s="204">
        <v>0</v>
      </c>
      <c r="Z31" s="304"/>
      <c r="AA31" s="304"/>
      <c r="AB31" s="304"/>
      <c r="AC31" s="304"/>
      <c r="AD31" s="304"/>
      <c r="AE31" s="304"/>
      <c r="AF31" s="304"/>
      <c r="AG31" s="304"/>
      <c r="AH31" s="304"/>
      <c r="AI31" s="304"/>
      <c r="AJ31" s="304"/>
      <c r="AK31" s="304"/>
      <c r="AL31" s="304"/>
      <c r="AM31" s="304"/>
      <c r="AN31" s="304"/>
      <c r="AO31" s="304"/>
      <c r="AP31" s="304"/>
      <c r="AQ31" s="304"/>
      <c r="AR31" s="304"/>
      <c r="AS31" s="305"/>
      <c r="AT31" s="304"/>
      <c r="AU31" s="304"/>
      <c r="AV31" s="304"/>
      <c r="AW31" s="304"/>
      <c r="AX31" s="304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5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4"/>
      <c r="CB31" s="304"/>
      <c r="CC31" s="304"/>
      <c r="CD31" s="304"/>
      <c r="CE31" s="304"/>
      <c r="CF31" s="304"/>
      <c r="CG31" s="305"/>
      <c r="CH31" s="304"/>
      <c r="CI31" s="304"/>
      <c r="CJ31" s="304"/>
      <c r="CK31" s="304"/>
      <c r="CL31" s="304"/>
      <c r="CM31" s="304"/>
      <c r="CN31" s="304"/>
      <c r="CO31" s="304"/>
      <c r="CP31" s="304"/>
      <c r="CQ31" s="304"/>
      <c r="CR31" s="304"/>
      <c r="CS31" s="304"/>
      <c r="CT31" s="304"/>
      <c r="CU31" s="304"/>
      <c r="CV31" s="304"/>
      <c r="CW31" s="304"/>
      <c r="CX31" s="304"/>
      <c r="CY31" s="304"/>
      <c r="CZ31" s="304"/>
      <c r="DA31" s="305"/>
      <c r="DB31" s="304"/>
      <c r="DC31" s="304"/>
      <c r="DD31" s="304"/>
      <c r="DE31" s="304"/>
      <c r="DF31" s="304"/>
      <c r="DG31" s="304"/>
      <c r="DH31" s="304"/>
      <c r="DI31" s="304"/>
      <c r="DJ31" s="304"/>
      <c r="DK31" s="304"/>
      <c r="DL31" s="304"/>
      <c r="DM31" s="304"/>
      <c r="DN31" s="304"/>
      <c r="DO31" s="304"/>
      <c r="DP31" s="304"/>
      <c r="DQ31" s="304"/>
      <c r="DR31" s="304"/>
      <c r="DS31" s="304"/>
      <c r="DT31" s="304"/>
      <c r="DU31" s="305"/>
      <c r="DV31" s="304"/>
      <c r="DW31" s="304"/>
      <c r="DX31" s="304"/>
      <c r="DY31" s="304"/>
      <c r="DZ31" s="304"/>
      <c r="EA31" s="304"/>
      <c r="EB31" s="304"/>
      <c r="EC31" s="304"/>
      <c r="ED31" s="304"/>
      <c r="EE31" s="304"/>
      <c r="EF31" s="304"/>
      <c r="EG31" s="304"/>
      <c r="EH31" s="304"/>
      <c r="EI31" s="304"/>
      <c r="EJ31" s="304"/>
      <c r="EK31" s="304"/>
      <c r="EL31" s="304"/>
      <c r="EM31" s="304"/>
      <c r="EN31" s="304"/>
      <c r="EO31" s="305"/>
      <c r="EP31" s="304"/>
      <c r="EQ31" s="304"/>
      <c r="ER31" s="304"/>
      <c r="ES31" s="304"/>
      <c r="ET31" s="304"/>
      <c r="EU31" s="304"/>
      <c r="EV31" s="304"/>
      <c r="EW31" s="304"/>
      <c r="EX31" s="304"/>
      <c r="EY31" s="304"/>
      <c r="EZ31" s="304"/>
      <c r="FA31" s="304"/>
      <c r="FB31" s="304"/>
      <c r="FC31" s="304"/>
      <c r="FD31" s="304"/>
      <c r="FE31" s="304"/>
      <c r="FF31" s="304"/>
      <c r="FG31" s="304"/>
      <c r="FH31" s="304"/>
      <c r="FI31" s="305"/>
      <c r="FJ31" s="304"/>
      <c r="FK31" s="304"/>
      <c r="FL31" s="304"/>
      <c r="FM31" s="304"/>
      <c r="FN31" s="304"/>
      <c r="FO31" s="304"/>
      <c r="FP31" s="304"/>
      <c r="FQ31" s="304"/>
      <c r="FR31" s="304"/>
      <c r="FS31" s="304"/>
      <c r="FT31" s="304"/>
      <c r="FU31" s="304"/>
      <c r="FV31" s="304"/>
      <c r="FW31" s="304"/>
      <c r="FX31" s="304"/>
      <c r="FY31" s="304"/>
      <c r="FZ31" s="304"/>
      <c r="GA31" s="304"/>
      <c r="GB31" s="304"/>
      <c r="GC31" s="305"/>
      <c r="GD31" s="304"/>
      <c r="GE31" s="304"/>
      <c r="GF31" s="304"/>
      <c r="GG31" s="304"/>
      <c r="GH31" s="304"/>
      <c r="GI31" s="304"/>
      <c r="GJ31" s="304"/>
      <c r="GK31" s="304"/>
      <c r="GL31" s="304"/>
      <c r="GM31" s="304"/>
      <c r="GN31" s="304"/>
      <c r="GO31" s="304"/>
      <c r="GP31" s="304"/>
      <c r="GQ31" s="304"/>
      <c r="GR31" s="304"/>
      <c r="GS31" s="304"/>
      <c r="GT31" s="304"/>
      <c r="GU31" s="304"/>
      <c r="GV31" s="304"/>
      <c r="GW31" s="305"/>
      <c r="GX31" s="304"/>
      <c r="GY31" s="304"/>
      <c r="GZ31" s="304"/>
      <c r="HA31" s="304"/>
      <c r="HB31" s="304"/>
      <c r="HC31" s="304"/>
      <c r="HD31" s="304"/>
      <c r="HE31" s="304"/>
      <c r="HF31" s="304"/>
      <c r="HG31" s="304"/>
      <c r="HH31" s="304"/>
      <c r="HI31" s="304"/>
      <c r="HJ31" s="304"/>
      <c r="HK31" s="304"/>
      <c r="HL31" s="304"/>
      <c r="HM31" s="304"/>
      <c r="HN31" s="304"/>
      <c r="HO31" s="304"/>
      <c r="HP31" s="304"/>
      <c r="HQ31" s="305"/>
      <c r="HR31" s="304"/>
      <c r="HS31" s="304"/>
      <c r="HT31" s="304"/>
      <c r="HU31" s="304"/>
      <c r="HV31" s="304"/>
      <c r="HW31" s="304"/>
      <c r="HX31" s="304"/>
      <c r="HY31" s="304"/>
      <c r="HZ31" s="304"/>
      <c r="IA31" s="304"/>
      <c r="IB31" s="304"/>
      <c r="IC31" s="304"/>
      <c r="ID31" s="304"/>
      <c r="IE31" s="304"/>
      <c r="IF31" s="304"/>
      <c r="IG31" s="304"/>
      <c r="IH31" s="304"/>
      <c r="II31" s="304"/>
      <c r="IJ31" s="304"/>
      <c r="IK31" s="305"/>
      <c r="IL31" s="304"/>
      <c r="IM31" s="304"/>
      <c r="IN31" s="304"/>
      <c r="IO31" s="304"/>
      <c r="IP31" s="304"/>
      <c r="IQ31" s="304"/>
      <c r="IR31" s="304"/>
      <c r="IS31" s="304"/>
      <c r="IT31" s="304"/>
      <c r="IU31" s="304"/>
      <c r="IV31" s="304"/>
      <c r="IW31" s="304"/>
      <c r="IX31" s="304"/>
      <c r="IY31" s="304"/>
      <c r="IZ31" s="304"/>
      <c r="JA31" s="304"/>
      <c r="JB31" s="304"/>
      <c r="JC31" s="304"/>
      <c r="JD31" s="304"/>
      <c r="JE31" s="305"/>
    </row>
    <row r="32" spans="1:271" x14ac:dyDescent="0.25">
      <c r="B32" s="102" t="s">
        <v>243</v>
      </c>
      <c r="C32" s="40" t="s">
        <v>60</v>
      </c>
      <c r="D32" s="40" t="s">
        <v>213</v>
      </c>
      <c r="E32" s="102" t="s">
        <v>101</v>
      </c>
      <c r="F32" s="196">
        <v>0</v>
      </c>
      <c r="G32" s="196">
        <v>0</v>
      </c>
      <c r="H32" s="196">
        <v>0</v>
      </c>
      <c r="I32" s="196">
        <v>0</v>
      </c>
      <c r="J32" s="196">
        <v>0</v>
      </c>
      <c r="K32" s="196">
        <v>0</v>
      </c>
      <c r="L32" s="196">
        <v>0</v>
      </c>
      <c r="M32" s="196">
        <v>0</v>
      </c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205">
        <v>0</v>
      </c>
      <c r="Z32" s="306"/>
      <c r="AA32" s="306"/>
      <c r="AB32" s="306"/>
      <c r="AC32" s="306"/>
      <c r="AD32" s="306"/>
      <c r="AE32" s="306"/>
      <c r="AF32" s="306"/>
      <c r="AG32" s="306"/>
      <c r="AH32" s="306"/>
      <c r="AI32" s="306"/>
      <c r="AJ32" s="306"/>
      <c r="AK32" s="306"/>
      <c r="AL32" s="306"/>
      <c r="AM32" s="306"/>
      <c r="AN32" s="306"/>
      <c r="AO32" s="306"/>
      <c r="AP32" s="306"/>
      <c r="AQ32" s="306"/>
      <c r="AR32" s="306"/>
      <c r="AS32" s="307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6"/>
      <c r="BH32" s="306"/>
      <c r="BI32" s="306"/>
      <c r="BJ32" s="306"/>
      <c r="BK32" s="306"/>
      <c r="BL32" s="306"/>
      <c r="BM32" s="307"/>
      <c r="BN32" s="306"/>
      <c r="BO32" s="306"/>
      <c r="BP32" s="306"/>
      <c r="BQ32" s="306"/>
      <c r="BR32" s="306"/>
      <c r="BS32" s="306"/>
      <c r="BT32" s="306"/>
      <c r="BU32" s="306"/>
      <c r="BV32" s="306"/>
      <c r="BW32" s="306"/>
      <c r="BX32" s="306"/>
      <c r="BY32" s="306"/>
      <c r="BZ32" s="306"/>
      <c r="CA32" s="306"/>
      <c r="CB32" s="306"/>
      <c r="CC32" s="306"/>
      <c r="CD32" s="306"/>
      <c r="CE32" s="306"/>
      <c r="CF32" s="306"/>
      <c r="CG32" s="307"/>
      <c r="CH32" s="306"/>
      <c r="CI32" s="306"/>
      <c r="CJ32" s="306"/>
      <c r="CK32" s="306"/>
      <c r="CL32" s="306"/>
      <c r="CM32" s="306"/>
      <c r="CN32" s="306"/>
      <c r="CO32" s="306"/>
      <c r="CP32" s="306"/>
      <c r="CQ32" s="306"/>
      <c r="CR32" s="306"/>
      <c r="CS32" s="306"/>
      <c r="CT32" s="306"/>
      <c r="CU32" s="306"/>
      <c r="CV32" s="306"/>
      <c r="CW32" s="306"/>
      <c r="CX32" s="306"/>
      <c r="CY32" s="306"/>
      <c r="CZ32" s="306"/>
      <c r="DA32" s="307"/>
      <c r="DB32" s="306"/>
      <c r="DC32" s="306"/>
      <c r="DD32" s="306"/>
      <c r="DE32" s="306"/>
      <c r="DF32" s="306"/>
      <c r="DG32" s="306"/>
      <c r="DH32" s="306"/>
      <c r="DI32" s="306"/>
      <c r="DJ32" s="306"/>
      <c r="DK32" s="306"/>
      <c r="DL32" s="306"/>
      <c r="DM32" s="306"/>
      <c r="DN32" s="306"/>
      <c r="DO32" s="306"/>
      <c r="DP32" s="306"/>
      <c r="DQ32" s="306"/>
      <c r="DR32" s="306"/>
      <c r="DS32" s="306"/>
      <c r="DT32" s="306"/>
      <c r="DU32" s="307"/>
      <c r="DV32" s="306"/>
      <c r="DW32" s="306"/>
      <c r="DX32" s="306"/>
      <c r="DY32" s="306"/>
      <c r="DZ32" s="306"/>
      <c r="EA32" s="306"/>
      <c r="EB32" s="306"/>
      <c r="EC32" s="306"/>
      <c r="ED32" s="306"/>
      <c r="EE32" s="306"/>
      <c r="EF32" s="306"/>
      <c r="EG32" s="306"/>
      <c r="EH32" s="306"/>
      <c r="EI32" s="306"/>
      <c r="EJ32" s="306"/>
      <c r="EK32" s="306"/>
      <c r="EL32" s="306"/>
      <c r="EM32" s="306"/>
      <c r="EN32" s="306"/>
      <c r="EO32" s="307"/>
      <c r="EP32" s="306"/>
      <c r="EQ32" s="306"/>
      <c r="ER32" s="306"/>
      <c r="ES32" s="306"/>
      <c r="ET32" s="306"/>
      <c r="EU32" s="306"/>
      <c r="EV32" s="306"/>
      <c r="EW32" s="306"/>
      <c r="EX32" s="306"/>
      <c r="EY32" s="306"/>
      <c r="EZ32" s="306"/>
      <c r="FA32" s="306"/>
      <c r="FB32" s="306"/>
      <c r="FC32" s="306"/>
      <c r="FD32" s="306"/>
      <c r="FE32" s="306"/>
      <c r="FF32" s="306"/>
      <c r="FG32" s="306"/>
      <c r="FH32" s="306"/>
      <c r="FI32" s="307"/>
      <c r="FJ32" s="306"/>
      <c r="FK32" s="306"/>
      <c r="FL32" s="306"/>
      <c r="FM32" s="306"/>
      <c r="FN32" s="306"/>
      <c r="FO32" s="306"/>
      <c r="FP32" s="306"/>
      <c r="FQ32" s="306"/>
      <c r="FR32" s="306"/>
      <c r="FS32" s="306"/>
      <c r="FT32" s="306"/>
      <c r="FU32" s="306"/>
      <c r="FV32" s="306"/>
      <c r="FW32" s="306"/>
      <c r="FX32" s="306"/>
      <c r="FY32" s="306"/>
      <c r="FZ32" s="306"/>
      <c r="GA32" s="306"/>
      <c r="GB32" s="306"/>
      <c r="GC32" s="307"/>
      <c r="GD32" s="306"/>
      <c r="GE32" s="306"/>
      <c r="GF32" s="306"/>
      <c r="GG32" s="306"/>
      <c r="GH32" s="306"/>
      <c r="GI32" s="306"/>
      <c r="GJ32" s="306"/>
      <c r="GK32" s="306"/>
      <c r="GL32" s="306"/>
      <c r="GM32" s="306"/>
      <c r="GN32" s="306"/>
      <c r="GO32" s="306"/>
      <c r="GP32" s="306"/>
      <c r="GQ32" s="306"/>
      <c r="GR32" s="306"/>
      <c r="GS32" s="306"/>
      <c r="GT32" s="306"/>
      <c r="GU32" s="306"/>
      <c r="GV32" s="306"/>
      <c r="GW32" s="307"/>
      <c r="GX32" s="306"/>
      <c r="GY32" s="306"/>
      <c r="GZ32" s="306"/>
      <c r="HA32" s="306"/>
      <c r="HB32" s="306"/>
      <c r="HC32" s="306"/>
      <c r="HD32" s="306"/>
      <c r="HE32" s="306"/>
      <c r="HF32" s="306"/>
      <c r="HG32" s="306"/>
      <c r="HH32" s="306"/>
      <c r="HI32" s="306"/>
      <c r="HJ32" s="306"/>
      <c r="HK32" s="306"/>
      <c r="HL32" s="306"/>
      <c r="HM32" s="306"/>
      <c r="HN32" s="306"/>
      <c r="HO32" s="306"/>
      <c r="HP32" s="306"/>
      <c r="HQ32" s="307"/>
      <c r="HR32" s="306"/>
      <c r="HS32" s="306"/>
      <c r="HT32" s="306"/>
      <c r="HU32" s="306"/>
      <c r="HV32" s="306"/>
      <c r="HW32" s="306"/>
      <c r="HX32" s="306"/>
      <c r="HY32" s="306"/>
      <c r="HZ32" s="306"/>
      <c r="IA32" s="306"/>
      <c r="IB32" s="306"/>
      <c r="IC32" s="306"/>
      <c r="ID32" s="306"/>
      <c r="IE32" s="306"/>
      <c r="IF32" s="306"/>
      <c r="IG32" s="306"/>
      <c r="IH32" s="306"/>
      <c r="II32" s="306"/>
      <c r="IJ32" s="306"/>
      <c r="IK32" s="307"/>
      <c r="IL32" s="306"/>
      <c r="IM32" s="306"/>
      <c r="IN32" s="306"/>
      <c r="IO32" s="306"/>
      <c r="IP32" s="306"/>
      <c r="IQ32" s="306"/>
      <c r="IR32" s="306"/>
      <c r="IS32" s="306"/>
      <c r="IT32" s="306"/>
      <c r="IU32" s="306"/>
      <c r="IV32" s="306"/>
      <c r="IW32" s="306"/>
      <c r="IX32" s="306"/>
      <c r="IY32" s="306"/>
      <c r="IZ32" s="306"/>
      <c r="JA32" s="306"/>
      <c r="JB32" s="306"/>
      <c r="JC32" s="306"/>
      <c r="JD32" s="306"/>
      <c r="JE32" s="307"/>
    </row>
    <row r="33" spans="2:265" x14ac:dyDescent="0.25">
      <c r="B33" s="102"/>
      <c r="C33" s="40"/>
      <c r="D33" s="40" t="s">
        <v>214</v>
      </c>
      <c r="E33" s="102" t="s">
        <v>101</v>
      </c>
      <c r="F33" s="196">
        <v>595.33333333333337</v>
      </c>
      <c r="G33" s="196">
        <v>631.0533333333334</v>
      </c>
      <c r="H33" s="196">
        <v>668.9165333333334</v>
      </c>
      <c r="I33" s="196">
        <v>709.05152533333342</v>
      </c>
      <c r="J33" s="196">
        <v>751.59461685333338</v>
      </c>
      <c r="K33" s="196">
        <v>796.69029386453337</v>
      </c>
      <c r="L33" s="196">
        <v>844.4917114964054</v>
      </c>
      <c r="M33" s="196">
        <v>895.16121418618968</v>
      </c>
      <c r="N33" s="196">
        <v>948.87088703736106</v>
      </c>
      <c r="O33" s="196">
        <v>1005.8031402596027</v>
      </c>
      <c r="P33" s="196">
        <v>1066.151328675179</v>
      </c>
      <c r="Q33" s="196">
        <v>1130.1204083956898</v>
      </c>
      <c r="R33" s="196">
        <v>1197.927632899431</v>
      </c>
      <c r="S33" s="196">
        <v>1269.8032908733969</v>
      </c>
      <c r="T33" s="196">
        <v>1345.9914883258007</v>
      </c>
      <c r="U33" s="196">
        <v>1426.7509776253487</v>
      </c>
      <c r="V33" s="196">
        <v>1512.3560362828696</v>
      </c>
      <c r="W33" s="196">
        <v>1603.0973984598418</v>
      </c>
      <c r="X33" s="196">
        <v>1699.2832423674322</v>
      </c>
      <c r="Y33" s="205">
        <v>1801.2402369094782</v>
      </c>
      <c r="Z33" s="306"/>
      <c r="AA33" s="306"/>
      <c r="AB33" s="306"/>
      <c r="AC33" s="306"/>
      <c r="AD33" s="306"/>
      <c r="AE33" s="306"/>
      <c r="AF33" s="306"/>
      <c r="AG33" s="306"/>
      <c r="AH33" s="306"/>
      <c r="AI33" s="306"/>
      <c r="AJ33" s="306"/>
      <c r="AK33" s="306"/>
      <c r="AL33" s="306"/>
      <c r="AM33" s="306"/>
      <c r="AN33" s="306"/>
      <c r="AO33" s="306"/>
      <c r="AP33" s="306"/>
      <c r="AQ33" s="306"/>
      <c r="AR33" s="306"/>
      <c r="AS33" s="307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06"/>
      <c r="BI33" s="306"/>
      <c r="BJ33" s="306"/>
      <c r="BK33" s="306"/>
      <c r="BL33" s="306"/>
      <c r="BM33" s="307"/>
      <c r="BN33" s="306"/>
      <c r="BO33" s="306"/>
      <c r="BP33" s="306"/>
      <c r="BQ33" s="306"/>
      <c r="BR33" s="306"/>
      <c r="BS33" s="306"/>
      <c r="BT33" s="306"/>
      <c r="BU33" s="306"/>
      <c r="BV33" s="306"/>
      <c r="BW33" s="306"/>
      <c r="BX33" s="306"/>
      <c r="BY33" s="306"/>
      <c r="BZ33" s="306"/>
      <c r="CA33" s="306"/>
      <c r="CB33" s="306"/>
      <c r="CC33" s="306"/>
      <c r="CD33" s="306"/>
      <c r="CE33" s="306"/>
      <c r="CF33" s="306"/>
      <c r="CG33" s="307"/>
      <c r="CH33" s="306"/>
      <c r="CI33" s="306"/>
      <c r="CJ33" s="306"/>
      <c r="CK33" s="306"/>
      <c r="CL33" s="306"/>
      <c r="CM33" s="306"/>
      <c r="CN33" s="306"/>
      <c r="CO33" s="306"/>
      <c r="CP33" s="306"/>
      <c r="CQ33" s="306"/>
      <c r="CR33" s="306"/>
      <c r="CS33" s="306"/>
      <c r="CT33" s="306"/>
      <c r="CU33" s="306"/>
      <c r="CV33" s="306"/>
      <c r="CW33" s="306"/>
      <c r="CX33" s="306"/>
      <c r="CY33" s="306"/>
      <c r="CZ33" s="306"/>
      <c r="DA33" s="307"/>
      <c r="DB33" s="306"/>
      <c r="DC33" s="306"/>
      <c r="DD33" s="306"/>
      <c r="DE33" s="306"/>
      <c r="DF33" s="306"/>
      <c r="DG33" s="306"/>
      <c r="DH33" s="306"/>
      <c r="DI33" s="306"/>
      <c r="DJ33" s="306"/>
      <c r="DK33" s="306"/>
      <c r="DL33" s="306"/>
      <c r="DM33" s="306"/>
      <c r="DN33" s="306"/>
      <c r="DO33" s="306"/>
      <c r="DP33" s="306"/>
      <c r="DQ33" s="306"/>
      <c r="DR33" s="306"/>
      <c r="DS33" s="306"/>
      <c r="DT33" s="306"/>
      <c r="DU33" s="307"/>
      <c r="DV33" s="306"/>
      <c r="DW33" s="306"/>
      <c r="DX33" s="306"/>
      <c r="DY33" s="306"/>
      <c r="DZ33" s="306"/>
      <c r="EA33" s="306"/>
      <c r="EB33" s="306"/>
      <c r="EC33" s="306"/>
      <c r="ED33" s="306"/>
      <c r="EE33" s="306"/>
      <c r="EF33" s="306"/>
      <c r="EG33" s="306"/>
      <c r="EH33" s="306"/>
      <c r="EI33" s="306"/>
      <c r="EJ33" s="306"/>
      <c r="EK33" s="306"/>
      <c r="EL33" s="306"/>
      <c r="EM33" s="306"/>
      <c r="EN33" s="306"/>
      <c r="EO33" s="307"/>
      <c r="EP33" s="306"/>
      <c r="EQ33" s="306"/>
      <c r="ER33" s="306"/>
      <c r="ES33" s="306"/>
      <c r="ET33" s="306"/>
      <c r="EU33" s="306"/>
      <c r="EV33" s="306"/>
      <c r="EW33" s="306"/>
      <c r="EX33" s="306"/>
      <c r="EY33" s="306"/>
      <c r="EZ33" s="306"/>
      <c r="FA33" s="306"/>
      <c r="FB33" s="306"/>
      <c r="FC33" s="306"/>
      <c r="FD33" s="306"/>
      <c r="FE33" s="306"/>
      <c r="FF33" s="306"/>
      <c r="FG33" s="306"/>
      <c r="FH33" s="306"/>
      <c r="FI33" s="307"/>
      <c r="FJ33" s="306"/>
      <c r="FK33" s="306"/>
      <c r="FL33" s="306"/>
      <c r="FM33" s="306"/>
      <c r="FN33" s="306"/>
      <c r="FO33" s="306"/>
      <c r="FP33" s="306"/>
      <c r="FQ33" s="306"/>
      <c r="FR33" s="306"/>
      <c r="FS33" s="306"/>
      <c r="FT33" s="306"/>
      <c r="FU33" s="306"/>
      <c r="FV33" s="306"/>
      <c r="FW33" s="306"/>
      <c r="FX33" s="306"/>
      <c r="FY33" s="306"/>
      <c r="FZ33" s="306"/>
      <c r="GA33" s="306"/>
      <c r="GB33" s="306"/>
      <c r="GC33" s="307"/>
      <c r="GD33" s="306"/>
      <c r="GE33" s="306"/>
      <c r="GF33" s="306"/>
      <c r="GG33" s="306"/>
      <c r="GH33" s="306"/>
      <c r="GI33" s="306"/>
      <c r="GJ33" s="306"/>
      <c r="GK33" s="306"/>
      <c r="GL33" s="306"/>
      <c r="GM33" s="306"/>
      <c r="GN33" s="306"/>
      <c r="GO33" s="306"/>
      <c r="GP33" s="306"/>
      <c r="GQ33" s="306"/>
      <c r="GR33" s="306"/>
      <c r="GS33" s="306"/>
      <c r="GT33" s="306"/>
      <c r="GU33" s="306"/>
      <c r="GV33" s="306"/>
      <c r="GW33" s="307"/>
      <c r="GX33" s="306"/>
      <c r="GY33" s="306"/>
      <c r="GZ33" s="306"/>
      <c r="HA33" s="306"/>
      <c r="HB33" s="306"/>
      <c r="HC33" s="306"/>
      <c r="HD33" s="306"/>
      <c r="HE33" s="306"/>
      <c r="HF33" s="306"/>
      <c r="HG33" s="306"/>
      <c r="HH33" s="306"/>
      <c r="HI33" s="306"/>
      <c r="HJ33" s="306"/>
      <c r="HK33" s="306"/>
      <c r="HL33" s="306"/>
      <c r="HM33" s="306"/>
      <c r="HN33" s="306"/>
      <c r="HO33" s="306"/>
      <c r="HP33" s="306"/>
      <c r="HQ33" s="307"/>
      <c r="HR33" s="306"/>
      <c r="HS33" s="306"/>
      <c r="HT33" s="306"/>
      <c r="HU33" s="306"/>
      <c r="HV33" s="306"/>
      <c r="HW33" s="306"/>
      <c r="HX33" s="306"/>
      <c r="HY33" s="306"/>
      <c r="HZ33" s="306"/>
      <c r="IA33" s="306"/>
      <c r="IB33" s="306"/>
      <c r="IC33" s="306"/>
      <c r="ID33" s="306"/>
      <c r="IE33" s="306"/>
      <c r="IF33" s="306"/>
      <c r="IG33" s="306"/>
      <c r="IH33" s="306"/>
      <c r="II33" s="306"/>
      <c r="IJ33" s="306"/>
      <c r="IK33" s="307"/>
      <c r="IL33" s="306"/>
      <c r="IM33" s="306"/>
      <c r="IN33" s="306"/>
      <c r="IO33" s="306"/>
      <c r="IP33" s="306"/>
      <c r="IQ33" s="306"/>
      <c r="IR33" s="306"/>
      <c r="IS33" s="306"/>
      <c r="IT33" s="306"/>
      <c r="IU33" s="306"/>
      <c r="IV33" s="306"/>
      <c r="IW33" s="306"/>
      <c r="IX33" s="306"/>
      <c r="IY33" s="306"/>
      <c r="IZ33" s="306"/>
      <c r="JA33" s="306"/>
      <c r="JB33" s="306"/>
      <c r="JC33" s="306"/>
      <c r="JD33" s="306"/>
      <c r="JE33" s="307"/>
    </row>
    <row r="34" spans="2:265" x14ac:dyDescent="0.25">
      <c r="B34" s="102"/>
      <c r="C34" s="40"/>
      <c r="D34" s="40" t="s">
        <v>173</v>
      </c>
      <c r="E34" s="102" t="s">
        <v>101</v>
      </c>
      <c r="F34" s="196">
        <v>545</v>
      </c>
      <c r="G34" s="196">
        <v>577.70000000000005</v>
      </c>
      <c r="H34" s="196">
        <v>612.36200000000008</v>
      </c>
      <c r="I34" s="196">
        <v>649.10372000000007</v>
      </c>
      <c r="J34" s="196">
        <v>688.04994320000003</v>
      </c>
      <c r="K34" s="196">
        <v>729.33293979200005</v>
      </c>
      <c r="L34" s="196">
        <v>773.0929161795201</v>
      </c>
      <c r="M34" s="196">
        <v>819.47849115029135</v>
      </c>
      <c r="N34" s="196">
        <v>868.64720061930882</v>
      </c>
      <c r="O34" s="196">
        <v>920.76603265646736</v>
      </c>
      <c r="P34" s="196">
        <v>976.01199461585543</v>
      </c>
      <c r="Q34" s="196">
        <v>1034.5727142928067</v>
      </c>
      <c r="R34" s="196">
        <v>1096.647077150375</v>
      </c>
      <c r="S34" s="196">
        <v>1162.4459017793974</v>
      </c>
      <c r="T34" s="196">
        <v>1232.1926558861612</v>
      </c>
      <c r="U34" s="196">
        <v>1306.1242152393309</v>
      </c>
      <c r="V34" s="196">
        <v>1384.4916681536906</v>
      </c>
      <c r="W34" s="196">
        <v>1467.5611682429121</v>
      </c>
      <c r="X34" s="196">
        <v>1555.6148383374868</v>
      </c>
      <c r="Y34" s="205">
        <v>1648.9517286377361</v>
      </c>
      <c r="Z34" s="306"/>
      <c r="AA34" s="306"/>
      <c r="AB34" s="306"/>
      <c r="AC34" s="306"/>
      <c r="AD34" s="306"/>
      <c r="AE34" s="306"/>
      <c r="AF34" s="306"/>
      <c r="AG34" s="306"/>
      <c r="AH34" s="306"/>
      <c r="AI34" s="306"/>
      <c r="AJ34" s="306"/>
      <c r="AK34" s="306"/>
      <c r="AL34" s="306"/>
      <c r="AM34" s="306"/>
      <c r="AN34" s="306"/>
      <c r="AO34" s="306"/>
      <c r="AP34" s="306"/>
      <c r="AQ34" s="306"/>
      <c r="AR34" s="306"/>
      <c r="AS34" s="307"/>
      <c r="AT34" s="306"/>
      <c r="AU34" s="306"/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6"/>
      <c r="BH34" s="306"/>
      <c r="BI34" s="306"/>
      <c r="BJ34" s="306"/>
      <c r="BK34" s="306"/>
      <c r="BL34" s="306"/>
      <c r="BM34" s="307"/>
      <c r="BN34" s="306"/>
      <c r="BO34" s="306"/>
      <c r="BP34" s="306"/>
      <c r="BQ34" s="306"/>
      <c r="BR34" s="306"/>
      <c r="BS34" s="306"/>
      <c r="BT34" s="306"/>
      <c r="BU34" s="306"/>
      <c r="BV34" s="306"/>
      <c r="BW34" s="306"/>
      <c r="BX34" s="306"/>
      <c r="BY34" s="306"/>
      <c r="BZ34" s="306"/>
      <c r="CA34" s="306"/>
      <c r="CB34" s="306"/>
      <c r="CC34" s="306"/>
      <c r="CD34" s="306"/>
      <c r="CE34" s="306"/>
      <c r="CF34" s="306"/>
      <c r="CG34" s="307"/>
      <c r="CH34" s="306"/>
      <c r="CI34" s="306"/>
      <c r="CJ34" s="306"/>
      <c r="CK34" s="306"/>
      <c r="CL34" s="306"/>
      <c r="CM34" s="306"/>
      <c r="CN34" s="306"/>
      <c r="CO34" s="306"/>
      <c r="CP34" s="306"/>
      <c r="CQ34" s="306"/>
      <c r="CR34" s="306"/>
      <c r="CS34" s="306"/>
      <c r="CT34" s="306"/>
      <c r="CU34" s="306"/>
      <c r="CV34" s="306"/>
      <c r="CW34" s="306"/>
      <c r="CX34" s="306"/>
      <c r="CY34" s="306"/>
      <c r="CZ34" s="306"/>
      <c r="DA34" s="307"/>
      <c r="DB34" s="306"/>
      <c r="DC34" s="306"/>
      <c r="DD34" s="306"/>
      <c r="DE34" s="306"/>
      <c r="DF34" s="306"/>
      <c r="DG34" s="306"/>
      <c r="DH34" s="306"/>
      <c r="DI34" s="306"/>
      <c r="DJ34" s="306"/>
      <c r="DK34" s="306"/>
      <c r="DL34" s="306"/>
      <c r="DM34" s="306"/>
      <c r="DN34" s="306"/>
      <c r="DO34" s="306"/>
      <c r="DP34" s="306"/>
      <c r="DQ34" s="306"/>
      <c r="DR34" s="306"/>
      <c r="DS34" s="306"/>
      <c r="DT34" s="306"/>
      <c r="DU34" s="307"/>
      <c r="DV34" s="306"/>
      <c r="DW34" s="306"/>
      <c r="DX34" s="306"/>
      <c r="DY34" s="306"/>
      <c r="DZ34" s="306"/>
      <c r="EA34" s="306"/>
      <c r="EB34" s="306"/>
      <c r="EC34" s="306"/>
      <c r="ED34" s="306"/>
      <c r="EE34" s="306"/>
      <c r="EF34" s="306"/>
      <c r="EG34" s="306"/>
      <c r="EH34" s="306"/>
      <c r="EI34" s="306"/>
      <c r="EJ34" s="306"/>
      <c r="EK34" s="306"/>
      <c r="EL34" s="306"/>
      <c r="EM34" s="306"/>
      <c r="EN34" s="306"/>
      <c r="EO34" s="307"/>
      <c r="EP34" s="306"/>
      <c r="EQ34" s="306"/>
      <c r="ER34" s="306"/>
      <c r="ES34" s="306"/>
      <c r="ET34" s="306"/>
      <c r="EU34" s="306"/>
      <c r="EV34" s="306"/>
      <c r="EW34" s="306"/>
      <c r="EX34" s="306"/>
      <c r="EY34" s="306"/>
      <c r="EZ34" s="306"/>
      <c r="FA34" s="306"/>
      <c r="FB34" s="306"/>
      <c r="FC34" s="306"/>
      <c r="FD34" s="306"/>
      <c r="FE34" s="306"/>
      <c r="FF34" s="306"/>
      <c r="FG34" s="306"/>
      <c r="FH34" s="306"/>
      <c r="FI34" s="307"/>
      <c r="FJ34" s="306"/>
      <c r="FK34" s="306"/>
      <c r="FL34" s="306"/>
      <c r="FM34" s="306"/>
      <c r="FN34" s="306"/>
      <c r="FO34" s="306"/>
      <c r="FP34" s="306"/>
      <c r="FQ34" s="306"/>
      <c r="FR34" s="306"/>
      <c r="FS34" s="306"/>
      <c r="FT34" s="306"/>
      <c r="FU34" s="306"/>
      <c r="FV34" s="306"/>
      <c r="FW34" s="306"/>
      <c r="FX34" s="306"/>
      <c r="FY34" s="306"/>
      <c r="FZ34" s="306"/>
      <c r="GA34" s="306"/>
      <c r="GB34" s="306"/>
      <c r="GC34" s="307"/>
      <c r="GD34" s="306"/>
      <c r="GE34" s="306"/>
      <c r="GF34" s="306"/>
      <c r="GG34" s="306"/>
      <c r="GH34" s="306"/>
      <c r="GI34" s="306"/>
      <c r="GJ34" s="306"/>
      <c r="GK34" s="306"/>
      <c r="GL34" s="306"/>
      <c r="GM34" s="306"/>
      <c r="GN34" s="306"/>
      <c r="GO34" s="306"/>
      <c r="GP34" s="306"/>
      <c r="GQ34" s="306"/>
      <c r="GR34" s="306"/>
      <c r="GS34" s="306"/>
      <c r="GT34" s="306"/>
      <c r="GU34" s="306"/>
      <c r="GV34" s="306"/>
      <c r="GW34" s="307"/>
      <c r="GX34" s="306"/>
      <c r="GY34" s="306"/>
      <c r="GZ34" s="306"/>
      <c r="HA34" s="306"/>
      <c r="HB34" s="306"/>
      <c r="HC34" s="306"/>
      <c r="HD34" s="306"/>
      <c r="HE34" s="306"/>
      <c r="HF34" s="306"/>
      <c r="HG34" s="306"/>
      <c r="HH34" s="306"/>
      <c r="HI34" s="306"/>
      <c r="HJ34" s="306"/>
      <c r="HK34" s="306"/>
      <c r="HL34" s="306"/>
      <c r="HM34" s="306"/>
      <c r="HN34" s="306"/>
      <c r="HO34" s="306"/>
      <c r="HP34" s="306"/>
      <c r="HQ34" s="307"/>
      <c r="HR34" s="306"/>
      <c r="HS34" s="306"/>
      <c r="HT34" s="306"/>
      <c r="HU34" s="306"/>
      <c r="HV34" s="306"/>
      <c r="HW34" s="306"/>
      <c r="HX34" s="306"/>
      <c r="HY34" s="306"/>
      <c r="HZ34" s="306"/>
      <c r="IA34" s="306"/>
      <c r="IB34" s="306"/>
      <c r="IC34" s="306"/>
      <c r="ID34" s="306"/>
      <c r="IE34" s="306"/>
      <c r="IF34" s="306"/>
      <c r="IG34" s="306"/>
      <c r="IH34" s="306"/>
      <c r="II34" s="306"/>
      <c r="IJ34" s="306"/>
      <c r="IK34" s="307"/>
      <c r="IL34" s="306"/>
      <c r="IM34" s="306"/>
      <c r="IN34" s="306"/>
      <c r="IO34" s="306"/>
      <c r="IP34" s="306"/>
      <c r="IQ34" s="306"/>
      <c r="IR34" s="306"/>
      <c r="IS34" s="306"/>
      <c r="IT34" s="306"/>
      <c r="IU34" s="306"/>
      <c r="IV34" s="306"/>
      <c r="IW34" s="306"/>
      <c r="IX34" s="306"/>
      <c r="IY34" s="306"/>
      <c r="IZ34" s="306"/>
      <c r="JA34" s="306"/>
      <c r="JB34" s="306"/>
      <c r="JC34" s="306"/>
      <c r="JD34" s="306"/>
      <c r="JE34" s="307"/>
    </row>
    <row r="35" spans="2:265" x14ac:dyDescent="0.25">
      <c r="B35" s="102"/>
      <c r="C35" s="40"/>
      <c r="D35" s="40" t="s">
        <v>215</v>
      </c>
      <c r="E35" s="102" t="s">
        <v>101</v>
      </c>
      <c r="F35" s="196">
        <v>0</v>
      </c>
      <c r="G35" s="196">
        <v>0</v>
      </c>
      <c r="H35" s="196">
        <v>0</v>
      </c>
      <c r="I35" s="196">
        <v>0</v>
      </c>
      <c r="J35" s="196">
        <v>0</v>
      </c>
      <c r="K35" s="196">
        <v>0</v>
      </c>
      <c r="L35" s="196">
        <v>0</v>
      </c>
      <c r="M35" s="196">
        <v>0</v>
      </c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205">
        <v>0</v>
      </c>
      <c r="Z35" s="306"/>
      <c r="AA35" s="306"/>
      <c r="AB35" s="306"/>
      <c r="AC35" s="306"/>
      <c r="AD35" s="306"/>
      <c r="AE35" s="306"/>
      <c r="AF35" s="306"/>
      <c r="AG35" s="306"/>
      <c r="AH35" s="306"/>
      <c r="AI35" s="306"/>
      <c r="AJ35" s="306"/>
      <c r="AK35" s="306"/>
      <c r="AL35" s="306"/>
      <c r="AM35" s="306"/>
      <c r="AN35" s="306"/>
      <c r="AO35" s="306"/>
      <c r="AP35" s="306"/>
      <c r="AQ35" s="306"/>
      <c r="AR35" s="306"/>
      <c r="AS35" s="307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06"/>
      <c r="BI35" s="306"/>
      <c r="BJ35" s="306"/>
      <c r="BK35" s="306"/>
      <c r="BL35" s="306"/>
      <c r="BM35" s="307"/>
      <c r="BN35" s="306"/>
      <c r="BO35" s="306"/>
      <c r="BP35" s="306"/>
      <c r="BQ35" s="306"/>
      <c r="BR35" s="306"/>
      <c r="BS35" s="306"/>
      <c r="BT35" s="306"/>
      <c r="BU35" s="306"/>
      <c r="BV35" s="306"/>
      <c r="BW35" s="306"/>
      <c r="BX35" s="306"/>
      <c r="BY35" s="306"/>
      <c r="BZ35" s="306"/>
      <c r="CA35" s="306"/>
      <c r="CB35" s="306"/>
      <c r="CC35" s="306"/>
      <c r="CD35" s="306"/>
      <c r="CE35" s="306"/>
      <c r="CF35" s="306"/>
      <c r="CG35" s="307"/>
      <c r="CH35" s="306"/>
      <c r="CI35" s="306"/>
      <c r="CJ35" s="306"/>
      <c r="CK35" s="306"/>
      <c r="CL35" s="306"/>
      <c r="CM35" s="306"/>
      <c r="CN35" s="306"/>
      <c r="CO35" s="306"/>
      <c r="CP35" s="306"/>
      <c r="CQ35" s="306"/>
      <c r="CR35" s="306"/>
      <c r="CS35" s="306"/>
      <c r="CT35" s="306"/>
      <c r="CU35" s="306"/>
      <c r="CV35" s="306"/>
      <c r="CW35" s="306"/>
      <c r="CX35" s="306"/>
      <c r="CY35" s="306"/>
      <c r="CZ35" s="306"/>
      <c r="DA35" s="307"/>
      <c r="DB35" s="306"/>
      <c r="DC35" s="306"/>
      <c r="DD35" s="306"/>
      <c r="DE35" s="306"/>
      <c r="DF35" s="306"/>
      <c r="DG35" s="306"/>
      <c r="DH35" s="306"/>
      <c r="DI35" s="306"/>
      <c r="DJ35" s="306"/>
      <c r="DK35" s="306"/>
      <c r="DL35" s="306"/>
      <c r="DM35" s="306"/>
      <c r="DN35" s="306"/>
      <c r="DO35" s="306"/>
      <c r="DP35" s="306"/>
      <c r="DQ35" s="306"/>
      <c r="DR35" s="306"/>
      <c r="DS35" s="306"/>
      <c r="DT35" s="306"/>
      <c r="DU35" s="307"/>
      <c r="DV35" s="306"/>
      <c r="DW35" s="306"/>
      <c r="DX35" s="306"/>
      <c r="DY35" s="306"/>
      <c r="DZ35" s="306"/>
      <c r="EA35" s="306"/>
      <c r="EB35" s="306"/>
      <c r="EC35" s="306"/>
      <c r="ED35" s="306"/>
      <c r="EE35" s="306"/>
      <c r="EF35" s="306"/>
      <c r="EG35" s="306"/>
      <c r="EH35" s="306"/>
      <c r="EI35" s="306"/>
      <c r="EJ35" s="306"/>
      <c r="EK35" s="306"/>
      <c r="EL35" s="306"/>
      <c r="EM35" s="306"/>
      <c r="EN35" s="306"/>
      <c r="EO35" s="307"/>
      <c r="EP35" s="306"/>
      <c r="EQ35" s="306"/>
      <c r="ER35" s="306"/>
      <c r="ES35" s="306"/>
      <c r="ET35" s="306"/>
      <c r="EU35" s="306"/>
      <c r="EV35" s="306"/>
      <c r="EW35" s="306"/>
      <c r="EX35" s="306"/>
      <c r="EY35" s="306"/>
      <c r="EZ35" s="306"/>
      <c r="FA35" s="306"/>
      <c r="FB35" s="306"/>
      <c r="FC35" s="306"/>
      <c r="FD35" s="306"/>
      <c r="FE35" s="306"/>
      <c r="FF35" s="306"/>
      <c r="FG35" s="306"/>
      <c r="FH35" s="306"/>
      <c r="FI35" s="307"/>
      <c r="FJ35" s="306"/>
      <c r="FK35" s="306"/>
      <c r="FL35" s="306"/>
      <c r="FM35" s="306"/>
      <c r="FN35" s="306"/>
      <c r="FO35" s="306"/>
      <c r="FP35" s="306"/>
      <c r="FQ35" s="306"/>
      <c r="FR35" s="306"/>
      <c r="FS35" s="306"/>
      <c r="FT35" s="306"/>
      <c r="FU35" s="306"/>
      <c r="FV35" s="306"/>
      <c r="FW35" s="306"/>
      <c r="FX35" s="306"/>
      <c r="FY35" s="306"/>
      <c r="FZ35" s="306"/>
      <c r="GA35" s="306"/>
      <c r="GB35" s="306"/>
      <c r="GC35" s="307"/>
      <c r="GD35" s="306"/>
      <c r="GE35" s="306"/>
      <c r="GF35" s="306"/>
      <c r="GG35" s="306"/>
      <c r="GH35" s="306"/>
      <c r="GI35" s="306"/>
      <c r="GJ35" s="306"/>
      <c r="GK35" s="306"/>
      <c r="GL35" s="306"/>
      <c r="GM35" s="306"/>
      <c r="GN35" s="306"/>
      <c r="GO35" s="306"/>
      <c r="GP35" s="306"/>
      <c r="GQ35" s="306"/>
      <c r="GR35" s="306"/>
      <c r="GS35" s="306"/>
      <c r="GT35" s="306"/>
      <c r="GU35" s="306"/>
      <c r="GV35" s="306"/>
      <c r="GW35" s="307"/>
      <c r="GX35" s="306"/>
      <c r="GY35" s="306"/>
      <c r="GZ35" s="306"/>
      <c r="HA35" s="306"/>
      <c r="HB35" s="306"/>
      <c r="HC35" s="306"/>
      <c r="HD35" s="306"/>
      <c r="HE35" s="306"/>
      <c r="HF35" s="306"/>
      <c r="HG35" s="306"/>
      <c r="HH35" s="306"/>
      <c r="HI35" s="306"/>
      <c r="HJ35" s="306"/>
      <c r="HK35" s="306"/>
      <c r="HL35" s="306"/>
      <c r="HM35" s="306"/>
      <c r="HN35" s="306"/>
      <c r="HO35" s="306"/>
      <c r="HP35" s="306"/>
      <c r="HQ35" s="307"/>
      <c r="HR35" s="306"/>
      <c r="HS35" s="306"/>
      <c r="HT35" s="306"/>
      <c r="HU35" s="306"/>
      <c r="HV35" s="306"/>
      <c r="HW35" s="306"/>
      <c r="HX35" s="306"/>
      <c r="HY35" s="306"/>
      <c r="HZ35" s="306"/>
      <c r="IA35" s="306"/>
      <c r="IB35" s="306"/>
      <c r="IC35" s="306"/>
      <c r="ID35" s="306"/>
      <c r="IE35" s="306"/>
      <c r="IF35" s="306"/>
      <c r="IG35" s="306"/>
      <c r="IH35" s="306"/>
      <c r="II35" s="306"/>
      <c r="IJ35" s="306"/>
      <c r="IK35" s="307"/>
      <c r="IL35" s="306"/>
      <c r="IM35" s="306"/>
      <c r="IN35" s="306"/>
      <c r="IO35" s="306"/>
      <c r="IP35" s="306"/>
      <c r="IQ35" s="306"/>
      <c r="IR35" s="306"/>
      <c r="IS35" s="306"/>
      <c r="IT35" s="306"/>
      <c r="IU35" s="306"/>
      <c r="IV35" s="306"/>
      <c r="IW35" s="306"/>
      <c r="IX35" s="306"/>
      <c r="IY35" s="306"/>
      <c r="IZ35" s="306"/>
      <c r="JA35" s="306"/>
      <c r="JB35" s="306"/>
      <c r="JC35" s="306"/>
      <c r="JD35" s="306"/>
      <c r="JE35" s="307"/>
    </row>
    <row r="36" spans="2:265" x14ac:dyDescent="0.25">
      <c r="B36" s="102"/>
      <c r="C36" s="40"/>
      <c r="D36" s="40" t="s">
        <v>216</v>
      </c>
      <c r="E36" s="102" t="s">
        <v>101</v>
      </c>
      <c r="F36" s="196">
        <v>133.66666666666666</v>
      </c>
      <c r="G36" s="196">
        <v>141.68666666666667</v>
      </c>
      <c r="H36" s="196">
        <v>150.18786666666668</v>
      </c>
      <c r="I36" s="196">
        <v>159.19913866666667</v>
      </c>
      <c r="J36" s="196">
        <v>168.75108698666668</v>
      </c>
      <c r="K36" s="196">
        <v>178.87615220586667</v>
      </c>
      <c r="L36" s="196">
        <v>189.60872133821869</v>
      </c>
      <c r="M36" s="196">
        <v>200.98524461851181</v>
      </c>
      <c r="N36" s="196">
        <v>213.04435929562251</v>
      </c>
      <c r="O36" s="196">
        <v>225.82702085335987</v>
      </c>
      <c r="P36" s="196">
        <v>239.37664210456145</v>
      </c>
      <c r="Q36" s="196">
        <v>253.73924063083516</v>
      </c>
      <c r="R36" s="196">
        <v>268.96359506868527</v>
      </c>
      <c r="S36" s="196">
        <v>285.10141077280639</v>
      </c>
      <c r="T36" s="196">
        <v>302.20749541917479</v>
      </c>
      <c r="U36" s="196">
        <v>320.33994514432527</v>
      </c>
      <c r="V36" s="196">
        <v>339.56034185298478</v>
      </c>
      <c r="W36" s="196">
        <v>359.93396236416385</v>
      </c>
      <c r="X36" s="196">
        <v>381.53000010601369</v>
      </c>
      <c r="Y36" s="205">
        <v>404.42180011237451</v>
      </c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7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7"/>
      <c r="BN36" s="306"/>
      <c r="BO36" s="306"/>
      <c r="BP36" s="306"/>
      <c r="BQ36" s="306"/>
      <c r="BR36" s="306"/>
      <c r="BS36" s="306"/>
      <c r="BT36" s="306"/>
      <c r="BU36" s="306"/>
      <c r="BV36" s="306"/>
      <c r="BW36" s="306"/>
      <c r="BX36" s="306"/>
      <c r="BY36" s="306"/>
      <c r="BZ36" s="306"/>
      <c r="CA36" s="306"/>
      <c r="CB36" s="306"/>
      <c r="CC36" s="306"/>
      <c r="CD36" s="306"/>
      <c r="CE36" s="306"/>
      <c r="CF36" s="306"/>
      <c r="CG36" s="307"/>
      <c r="CH36" s="306"/>
      <c r="CI36" s="306"/>
      <c r="CJ36" s="306"/>
      <c r="CK36" s="306"/>
      <c r="CL36" s="306"/>
      <c r="CM36" s="306"/>
      <c r="CN36" s="306"/>
      <c r="CO36" s="306"/>
      <c r="CP36" s="306"/>
      <c r="CQ36" s="306"/>
      <c r="CR36" s="306"/>
      <c r="CS36" s="306"/>
      <c r="CT36" s="306"/>
      <c r="CU36" s="306"/>
      <c r="CV36" s="306"/>
      <c r="CW36" s="306"/>
      <c r="CX36" s="306"/>
      <c r="CY36" s="306"/>
      <c r="CZ36" s="306"/>
      <c r="DA36" s="307"/>
      <c r="DB36" s="306"/>
      <c r="DC36" s="306"/>
      <c r="DD36" s="306"/>
      <c r="DE36" s="306"/>
      <c r="DF36" s="306"/>
      <c r="DG36" s="306"/>
      <c r="DH36" s="306"/>
      <c r="DI36" s="306"/>
      <c r="DJ36" s="306"/>
      <c r="DK36" s="306"/>
      <c r="DL36" s="306"/>
      <c r="DM36" s="306"/>
      <c r="DN36" s="306"/>
      <c r="DO36" s="306"/>
      <c r="DP36" s="306"/>
      <c r="DQ36" s="306"/>
      <c r="DR36" s="306"/>
      <c r="DS36" s="306"/>
      <c r="DT36" s="306"/>
      <c r="DU36" s="307"/>
      <c r="DV36" s="306"/>
      <c r="DW36" s="306"/>
      <c r="DX36" s="306"/>
      <c r="DY36" s="306"/>
      <c r="DZ36" s="306"/>
      <c r="EA36" s="306"/>
      <c r="EB36" s="306"/>
      <c r="EC36" s="306"/>
      <c r="ED36" s="306"/>
      <c r="EE36" s="306"/>
      <c r="EF36" s="306"/>
      <c r="EG36" s="306"/>
      <c r="EH36" s="306"/>
      <c r="EI36" s="306"/>
      <c r="EJ36" s="306"/>
      <c r="EK36" s="306"/>
      <c r="EL36" s="306"/>
      <c r="EM36" s="306"/>
      <c r="EN36" s="306"/>
      <c r="EO36" s="307"/>
      <c r="EP36" s="306"/>
      <c r="EQ36" s="306"/>
      <c r="ER36" s="306"/>
      <c r="ES36" s="306"/>
      <c r="ET36" s="306"/>
      <c r="EU36" s="306"/>
      <c r="EV36" s="306"/>
      <c r="EW36" s="306"/>
      <c r="EX36" s="306"/>
      <c r="EY36" s="306"/>
      <c r="EZ36" s="306"/>
      <c r="FA36" s="306"/>
      <c r="FB36" s="306"/>
      <c r="FC36" s="306"/>
      <c r="FD36" s="306"/>
      <c r="FE36" s="306"/>
      <c r="FF36" s="306"/>
      <c r="FG36" s="306"/>
      <c r="FH36" s="306"/>
      <c r="FI36" s="307"/>
      <c r="FJ36" s="306"/>
      <c r="FK36" s="306"/>
      <c r="FL36" s="306"/>
      <c r="FM36" s="306"/>
      <c r="FN36" s="306"/>
      <c r="FO36" s="306"/>
      <c r="FP36" s="306"/>
      <c r="FQ36" s="306"/>
      <c r="FR36" s="306"/>
      <c r="FS36" s="306"/>
      <c r="FT36" s="306"/>
      <c r="FU36" s="306"/>
      <c r="FV36" s="306"/>
      <c r="FW36" s="306"/>
      <c r="FX36" s="306"/>
      <c r="FY36" s="306"/>
      <c r="FZ36" s="306"/>
      <c r="GA36" s="306"/>
      <c r="GB36" s="306"/>
      <c r="GC36" s="307"/>
      <c r="GD36" s="306"/>
      <c r="GE36" s="306"/>
      <c r="GF36" s="306"/>
      <c r="GG36" s="306"/>
      <c r="GH36" s="306"/>
      <c r="GI36" s="306"/>
      <c r="GJ36" s="306"/>
      <c r="GK36" s="306"/>
      <c r="GL36" s="306"/>
      <c r="GM36" s="306"/>
      <c r="GN36" s="306"/>
      <c r="GO36" s="306"/>
      <c r="GP36" s="306"/>
      <c r="GQ36" s="306"/>
      <c r="GR36" s="306"/>
      <c r="GS36" s="306"/>
      <c r="GT36" s="306"/>
      <c r="GU36" s="306"/>
      <c r="GV36" s="306"/>
      <c r="GW36" s="307"/>
      <c r="GX36" s="306"/>
      <c r="GY36" s="306"/>
      <c r="GZ36" s="306"/>
      <c r="HA36" s="306"/>
      <c r="HB36" s="306"/>
      <c r="HC36" s="306"/>
      <c r="HD36" s="306"/>
      <c r="HE36" s="306"/>
      <c r="HF36" s="306"/>
      <c r="HG36" s="306"/>
      <c r="HH36" s="306"/>
      <c r="HI36" s="306"/>
      <c r="HJ36" s="306"/>
      <c r="HK36" s="306"/>
      <c r="HL36" s="306"/>
      <c r="HM36" s="306"/>
      <c r="HN36" s="306"/>
      <c r="HO36" s="306"/>
      <c r="HP36" s="306"/>
      <c r="HQ36" s="307"/>
      <c r="HR36" s="306"/>
      <c r="HS36" s="306"/>
      <c r="HT36" s="306"/>
      <c r="HU36" s="306"/>
      <c r="HV36" s="306"/>
      <c r="HW36" s="306"/>
      <c r="HX36" s="306"/>
      <c r="HY36" s="306"/>
      <c r="HZ36" s="306"/>
      <c r="IA36" s="306"/>
      <c r="IB36" s="306"/>
      <c r="IC36" s="306"/>
      <c r="ID36" s="306"/>
      <c r="IE36" s="306"/>
      <c r="IF36" s="306"/>
      <c r="IG36" s="306"/>
      <c r="IH36" s="306"/>
      <c r="II36" s="306"/>
      <c r="IJ36" s="306"/>
      <c r="IK36" s="307"/>
      <c r="IL36" s="306"/>
      <c r="IM36" s="306"/>
      <c r="IN36" s="306"/>
      <c r="IO36" s="306"/>
      <c r="IP36" s="306"/>
      <c r="IQ36" s="306"/>
      <c r="IR36" s="306"/>
      <c r="IS36" s="306"/>
      <c r="IT36" s="306"/>
      <c r="IU36" s="306"/>
      <c r="IV36" s="306"/>
      <c r="IW36" s="306"/>
      <c r="IX36" s="306"/>
      <c r="IY36" s="306"/>
      <c r="IZ36" s="306"/>
      <c r="JA36" s="306"/>
      <c r="JB36" s="306"/>
      <c r="JC36" s="306"/>
      <c r="JD36" s="306"/>
      <c r="JE36" s="307"/>
    </row>
    <row r="37" spans="2:265" x14ac:dyDescent="0.25">
      <c r="B37" s="102"/>
      <c r="C37" s="40"/>
      <c r="D37" s="40" t="s">
        <v>217</v>
      </c>
      <c r="E37" s="102" t="s">
        <v>101</v>
      </c>
      <c r="F37" s="196">
        <v>156.33333333333331</v>
      </c>
      <c r="G37" s="196">
        <v>165.71333333333331</v>
      </c>
      <c r="H37" s="196">
        <v>175.65613333333332</v>
      </c>
      <c r="I37" s="196">
        <v>186.19550133333331</v>
      </c>
      <c r="J37" s="196">
        <v>197.36723141333331</v>
      </c>
      <c r="K37" s="196">
        <v>209.20926529813332</v>
      </c>
      <c r="L37" s="196">
        <v>221.7618212160213</v>
      </c>
      <c r="M37" s="196">
        <v>235.06753048898258</v>
      </c>
      <c r="N37" s="196">
        <v>249.17158231832153</v>
      </c>
      <c r="O37" s="196">
        <v>264.12187725742081</v>
      </c>
      <c r="P37" s="196">
        <v>279.96918989286604</v>
      </c>
      <c r="Q37" s="196">
        <v>296.76734128643801</v>
      </c>
      <c r="R37" s="196">
        <v>314.5733817636243</v>
      </c>
      <c r="S37" s="196">
        <v>333.44778466944177</v>
      </c>
      <c r="T37" s="196">
        <v>353.45465174960827</v>
      </c>
      <c r="U37" s="196">
        <v>374.6619308545848</v>
      </c>
      <c r="V37" s="196">
        <v>397.1416467058599</v>
      </c>
      <c r="W37" s="196">
        <v>420.97014550821149</v>
      </c>
      <c r="X37" s="196">
        <v>446.22835423870418</v>
      </c>
      <c r="Y37" s="205">
        <v>473.00205549302643</v>
      </c>
      <c r="Z37" s="306"/>
      <c r="AA37" s="306"/>
      <c r="AB37" s="306"/>
      <c r="AC37" s="306"/>
      <c r="AD37" s="306"/>
      <c r="AE37" s="306"/>
      <c r="AF37" s="306"/>
      <c r="AG37" s="306"/>
      <c r="AH37" s="306"/>
      <c r="AI37" s="306"/>
      <c r="AJ37" s="306"/>
      <c r="AK37" s="306"/>
      <c r="AL37" s="306"/>
      <c r="AM37" s="306"/>
      <c r="AN37" s="306"/>
      <c r="AO37" s="306"/>
      <c r="AP37" s="306"/>
      <c r="AQ37" s="306"/>
      <c r="AR37" s="306"/>
      <c r="AS37" s="307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6"/>
      <c r="BH37" s="306"/>
      <c r="BI37" s="306"/>
      <c r="BJ37" s="306"/>
      <c r="BK37" s="306"/>
      <c r="BL37" s="306"/>
      <c r="BM37" s="307"/>
      <c r="BN37" s="306"/>
      <c r="BO37" s="306"/>
      <c r="BP37" s="306"/>
      <c r="BQ37" s="306"/>
      <c r="BR37" s="306"/>
      <c r="BS37" s="306"/>
      <c r="BT37" s="306"/>
      <c r="BU37" s="306"/>
      <c r="BV37" s="306"/>
      <c r="BW37" s="306"/>
      <c r="BX37" s="306"/>
      <c r="BY37" s="306"/>
      <c r="BZ37" s="306"/>
      <c r="CA37" s="306"/>
      <c r="CB37" s="306"/>
      <c r="CC37" s="306"/>
      <c r="CD37" s="306"/>
      <c r="CE37" s="306"/>
      <c r="CF37" s="306"/>
      <c r="CG37" s="307"/>
      <c r="CH37" s="306"/>
      <c r="CI37" s="306"/>
      <c r="CJ37" s="306"/>
      <c r="CK37" s="306"/>
      <c r="CL37" s="306"/>
      <c r="CM37" s="306"/>
      <c r="CN37" s="306"/>
      <c r="CO37" s="306"/>
      <c r="CP37" s="306"/>
      <c r="CQ37" s="306"/>
      <c r="CR37" s="306"/>
      <c r="CS37" s="306"/>
      <c r="CT37" s="306"/>
      <c r="CU37" s="306"/>
      <c r="CV37" s="306"/>
      <c r="CW37" s="306"/>
      <c r="CX37" s="306"/>
      <c r="CY37" s="306"/>
      <c r="CZ37" s="306"/>
      <c r="DA37" s="307"/>
      <c r="DB37" s="306"/>
      <c r="DC37" s="306"/>
      <c r="DD37" s="306"/>
      <c r="DE37" s="306"/>
      <c r="DF37" s="306"/>
      <c r="DG37" s="306"/>
      <c r="DH37" s="306"/>
      <c r="DI37" s="306"/>
      <c r="DJ37" s="306"/>
      <c r="DK37" s="306"/>
      <c r="DL37" s="306"/>
      <c r="DM37" s="306"/>
      <c r="DN37" s="306"/>
      <c r="DO37" s="306"/>
      <c r="DP37" s="306"/>
      <c r="DQ37" s="306"/>
      <c r="DR37" s="306"/>
      <c r="DS37" s="306"/>
      <c r="DT37" s="306"/>
      <c r="DU37" s="307"/>
      <c r="DV37" s="306"/>
      <c r="DW37" s="306"/>
      <c r="DX37" s="306"/>
      <c r="DY37" s="306"/>
      <c r="DZ37" s="306"/>
      <c r="EA37" s="306"/>
      <c r="EB37" s="306"/>
      <c r="EC37" s="306"/>
      <c r="ED37" s="306"/>
      <c r="EE37" s="306"/>
      <c r="EF37" s="306"/>
      <c r="EG37" s="306"/>
      <c r="EH37" s="306"/>
      <c r="EI37" s="306"/>
      <c r="EJ37" s="306"/>
      <c r="EK37" s="306"/>
      <c r="EL37" s="306"/>
      <c r="EM37" s="306"/>
      <c r="EN37" s="306"/>
      <c r="EO37" s="307"/>
      <c r="EP37" s="306"/>
      <c r="EQ37" s="306"/>
      <c r="ER37" s="306"/>
      <c r="ES37" s="306"/>
      <c r="ET37" s="306"/>
      <c r="EU37" s="306"/>
      <c r="EV37" s="306"/>
      <c r="EW37" s="306"/>
      <c r="EX37" s="306"/>
      <c r="EY37" s="306"/>
      <c r="EZ37" s="306"/>
      <c r="FA37" s="306"/>
      <c r="FB37" s="306"/>
      <c r="FC37" s="306"/>
      <c r="FD37" s="306"/>
      <c r="FE37" s="306"/>
      <c r="FF37" s="306"/>
      <c r="FG37" s="306"/>
      <c r="FH37" s="306"/>
      <c r="FI37" s="307"/>
      <c r="FJ37" s="306"/>
      <c r="FK37" s="306"/>
      <c r="FL37" s="306"/>
      <c r="FM37" s="306"/>
      <c r="FN37" s="306"/>
      <c r="FO37" s="306"/>
      <c r="FP37" s="306"/>
      <c r="FQ37" s="306"/>
      <c r="FR37" s="306"/>
      <c r="FS37" s="306"/>
      <c r="FT37" s="306"/>
      <c r="FU37" s="306"/>
      <c r="FV37" s="306"/>
      <c r="FW37" s="306"/>
      <c r="FX37" s="306"/>
      <c r="FY37" s="306"/>
      <c r="FZ37" s="306"/>
      <c r="GA37" s="306"/>
      <c r="GB37" s="306"/>
      <c r="GC37" s="307"/>
      <c r="GD37" s="306"/>
      <c r="GE37" s="306"/>
      <c r="GF37" s="306"/>
      <c r="GG37" s="306"/>
      <c r="GH37" s="306"/>
      <c r="GI37" s="306"/>
      <c r="GJ37" s="306"/>
      <c r="GK37" s="306"/>
      <c r="GL37" s="306"/>
      <c r="GM37" s="306"/>
      <c r="GN37" s="306"/>
      <c r="GO37" s="306"/>
      <c r="GP37" s="306"/>
      <c r="GQ37" s="306"/>
      <c r="GR37" s="306"/>
      <c r="GS37" s="306"/>
      <c r="GT37" s="306"/>
      <c r="GU37" s="306"/>
      <c r="GV37" s="306"/>
      <c r="GW37" s="307"/>
      <c r="GX37" s="306"/>
      <c r="GY37" s="306"/>
      <c r="GZ37" s="306"/>
      <c r="HA37" s="306"/>
      <c r="HB37" s="306"/>
      <c r="HC37" s="306"/>
      <c r="HD37" s="306"/>
      <c r="HE37" s="306"/>
      <c r="HF37" s="306"/>
      <c r="HG37" s="306"/>
      <c r="HH37" s="306"/>
      <c r="HI37" s="306"/>
      <c r="HJ37" s="306"/>
      <c r="HK37" s="306"/>
      <c r="HL37" s="306"/>
      <c r="HM37" s="306"/>
      <c r="HN37" s="306"/>
      <c r="HO37" s="306"/>
      <c r="HP37" s="306"/>
      <c r="HQ37" s="307"/>
      <c r="HR37" s="306"/>
      <c r="HS37" s="306"/>
      <c r="HT37" s="306"/>
      <c r="HU37" s="306"/>
      <c r="HV37" s="306"/>
      <c r="HW37" s="306"/>
      <c r="HX37" s="306"/>
      <c r="HY37" s="306"/>
      <c r="HZ37" s="306"/>
      <c r="IA37" s="306"/>
      <c r="IB37" s="306"/>
      <c r="IC37" s="306"/>
      <c r="ID37" s="306"/>
      <c r="IE37" s="306"/>
      <c r="IF37" s="306"/>
      <c r="IG37" s="306"/>
      <c r="IH37" s="306"/>
      <c r="II37" s="306"/>
      <c r="IJ37" s="306"/>
      <c r="IK37" s="307"/>
      <c r="IL37" s="306"/>
      <c r="IM37" s="306"/>
      <c r="IN37" s="306"/>
      <c r="IO37" s="306"/>
      <c r="IP37" s="306"/>
      <c r="IQ37" s="306"/>
      <c r="IR37" s="306"/>
      <c r="IS37" s="306"/>
      <c r="IT37" s="306"/>
      <c r="IU37" s="306"/>
      <c r="IV37" s="306"/>
      <c r="IW37" s="306"/>
      <c r="IX37" s="306"/>
      <c r="IY37" s="306"/>
      <c r="IZ37" s="306"/>
      <c r="JA37" s="306"/>
      <c r="JB37" s="306"/>
      <c r="JC37" s="306"/>
      <c r="JD37" s="306"/>
      <c r="JE37" s="307"/>
    </row>
    <row r="38" spans="2:265" x14ac:dyDescent="0.25">
      <c r="B38" s="102"/>
      <c r="C38" s="40"/>
      <c r="D38" s="40" t="s">
        <v>218</v>
      </c>
      <c r="E38" s="102" t="s">
        <v>101</v>
      </c>
      <c r="F38" s="196">
        <v>68.333333333333329</v>
      </c>
      <c r="G38" s="196">
        <v>72.433333333333323</v>
      </c>
      <c r="H38" s="196">
        <v>76.779333333333327</v>
      </c>
      <c r="I38" s="196">
        <v>81.386093333333321</v>
      </c>
      <c r="J38" s="196">
        <v>86.269258933333319</v>
      </c>
      <c r="K38" s="196">
        <v>91.445414469333315</v>
      </c>
      <c r="L38" s="196">
        <v>96.932139337493311</v>
      </c>
      <c r="M38" s="196">
        <v>102.74806769774291</v>
      </c>
      <c r="N38" s="196">
        <v>108.91295175960748</v>
      </c>
      <c r="O38" s="196">
        <v>115.44772886518393</v>
      </c>
      <c r="P38" s="196">
        <v>122.37459259709497</v>
      </c>
      <c r="Q38" s="196">
        <v>129.71706815292066</v>
      </c>
      <c r="R38" s="196">
        <v>137.50009224209589</v>
      </c>
      <c r="S38" s="196">
        <v>145.75009777662163</v>
      </c>
      <c r="T38" s="196">
        <v>154.49510364321893</v>
      </c>
      <c r="U38" s="196">
        <v>163.76480986181207</v>
      </c>
      <c r="V38" s="196">
        <v>173.59069845352079</v>
      </c>
      <c r="W38" s="196">
        <v>184.00614036073205</v>
      </c>
      <c r="X38" s="196">
        <v>195.04650878237598</v>
      </c>
      <c r="Y38" s="205">
        <v>206.74929930931853</v>
      </c>
      <c r="Z38" s="306"/>
      <c r="AA38" s="306"/>
      <c r="AB38" s="306"/>
      <c r="AC38" s="306"/>
      <c r="AD38" s="306"/>
      <c r="AE38" s="306"/>
      <c r="AF38" s="306"/>
      <c r="AG38" s="306"/>
      <c r="AH38" s="306"/>
      <c r="AI38" s="306"/>
      <c r="AJ38" s="306"/>
      <c r="AK38" s="306"/>
      <c r="AL38" s="306"/>
      <c r="AM38" s="306"/>
      <c r="AN38" s="306"/>
      <c r="AO38" s="306"/>
      <c r="AP38" s="306"/>
      <c r="AQ38" s="306"/>
      <c r="AR38" s="306"/>
      <c r="AS38" s="307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6"/>
      <c r="BH38" s="306"/>
      <c r="BI38" s="306"/>
      <c r="BJ38" s="306"/>
      <c r="BK38" s="306"/>
      <c r="BL38" s="306"/>
      <c r="BM38" s="307"/>
      <c r="BN38" s="306"/>
      <c r="BO38" s="306"/>
      <c r="BP38" s="306"/>
      <c r="BQ38" s="306"/>
      <c r="BR38" s="306"/>
      <c r="BS38" s="306"/>
      <c r="BT38" s="306"/>
      <c r="BU38" s="306"/>
      <c r="BV38" s="306"/>
      <c r="BW38" s="306"/>
      <c r="BX38" s="306"/>
      <c r="BY38" s="306"/>
      <c r="BZ38" s="306"/>
      <c r="CA38" s="306"/>
      <c r="CB38" s="306"/>
      <c r="CC38" s="306"/>
      <c r="CD38" s="306"/>
      <c r="CE38" s="306"/>
      <c r="CF38" s="306"/>
      <c r="CG38" s="307"/>
      <c r="CH38" s="306"/>
      <c r="CI38" s="306"/>
      <c r="CJ38" s="306"/>
      <c r="CK38" s="306"/>
      <c r="CL38" s="306"/>
      <c r="CM38" s="306"/>
      <c r="CN38" s="306"/>
      <c r="CO38" s="306"/>
      <c r="CP38" s="306"/>
      <c r="CQ38" s="306"/>
      <c r="CR38" s="306"/>
      <c r="CS38" s="306"/>
      <c r="CT38" s="306"/>
      <c r="CU38" s="306"/>
      <c r="CV38" s="306"/>
      <c r="CW38" s="306"/>
      <c r="CX38" s="306"/>
      <c r="CY38" s="306"/>
      <c r="CZ38" s="306"/>
      <c r="DA38" s="307"/>
      <c r="DB38" s="306"/>
      <c r="DC38" s="306"/>
      <c r="DD38" s="306"/>
      <c r="DE38" s="306"/>
      <c r="DF38" s="306"/>
      <c r="DG38" s="306"/>
      <c r="DH38" s="306"/>
      <c r="DI38" s="306"/>
      <c r="DJ38" s="306"/>
      <c r="DK38" s="306"/>
      <c r="DL38" s="306"/>
      <c r="DM38" s="306"/>
      <c r="DN38" s="306"/>
      <c r="DO38" s="306"/>
      <c r="DP38" s="306"/>
      <c r="DQ38" s="306"/>
      <c r="DR38" s="306"/>
      <c r="DS38" s="306"/>
      <c r="DT38" s="306"/>
      <c r="DU38" s="307"/>
      <c r="DV38" s="306"/>
      <c r="DW38" s="306"/>
      <c r="DX38" s="306"/>
      <c r="DY38" s="306"/>
      <c r="DZ38" s="306"/>
      <c r="EA38" s="306"/>
      <c r="EB38" s="306"/>
      <c r="EC38" s="306"/>
      <c r="ED38" s="306"/>
      <c r="EE38" s="306"/>
      <c r="EF38" s="306"/>
      <c r="EG38" s="306"/>
      <c r="EH38" s="306"/>
      <c r="EI38" s="306"/>
      <c r="EJ38" s="306"/>
      <c r="EK38" s="306"/>
      <c r="EL38" s="306"/>
      <c r="EM38" s="306"/>
      <c r="EN38" s="306"/>
      <c r="EO38" s="307"/>
      <c r="EP38" s="306"/>
      <c r="EQ38" s="306"/>
      <c r="ER38" s="306"/>
      <c r="ES38" s="306"/>
      <c r="ET38" s="306"/>
      <c r="EU38" s="306"/>
      <c r="EV38" s="306"/>
      <c r="EW38" s="306"/>
      <c r="EX38" s="306"/>
      <c r="EY38" s="306"/>
      <c r="EZ38" s="306"/>
      <c r="FA38" s="306"/>
      <c r="FB38" s="306"/>
      <c r="FC38" s="306"/>
      <c r="FD38" s="306"/>
      <c r="FE38" s="306"/>
      <c r="FF38" s="306"/>
      <c r="FG38" s="306"/>
      <c r="FH38" s="306"/>
      <c r="FI38" s="307"/>
      <c r="FJ38" s="306"/>
      <c r="FK38" s="306"/>
      <c r="FL38" s="306"/>
      <c r="FM38" s="306"/>
      <c r="FN38" s="306"/>
      <c r="FO38" s="306"/>
      <c r="FP38" s="306"/>
      <c r="FQ38" s="306"/>
      <c r="FR38" s="306"/>
      <c r="FS38" s="306"/>
      <c r="FT38" s="306"/>
      <c r="FU38" s="306"/>
      <c r="FV38" s="306"/>
      <c r="FW38" s="306"/>
      <c r="FX38" s="306"/>
      <c r="FY38" s="306"/>
      <c r="FZ38" s="306"/>
      <c r="GA38" s="306"/>
      <c r="GB38" s="306"/>
      <c r="GC38" s="307"/>
      <c r="GD38" s="306"/>
      <c r="GE38" s="306"/>
      <c r="GF38" s="306"/>
      <c r="GG38" s="306"/>
      <c r="GH38" s="306"/>
      <c r="GI38" s="306"/>
      <c r="GJ38" s="306"/>
      <c r="GK38" s="306"/>
      <c r="GL38" s="306"/>
      <c r="GM38" s="306"/>
      <c r="GN38" s="306"/>
      <c r="GO38" s="306"/>
      <c r="GP38" s="306"/>
      <c r="GQ38" s="306"/>
      <c r="GR38" s="306"/>
      <c r="GS38" s="306"/>
      <c r="GT38" s="306"/>
      <c r="GU38" s="306"/>
      <c r="GV38" s="306"/>
      <c r="GW38" s="307"/>
      <c r="GX38" s="306"/>
      <c r="GY38" s="306"/>
      <c r="GZ38" s="306"/>
      <c r="HA38" s="306"/>
      <c r="HB38" s="306"/>
      <c r="HC38" s="306"/>
      <c r="HD38" s="306"/>
      <c r="HE38" s="306"/>
      <c r="HF38" s="306"/>
      <c r="HG38" s="306"/>
      <c r="HH38" s="306"/>
      <c r="HI38" s="306"/>
      <c r="HJ38" s="306"/>
      <c r="HK38" s="306"/>
      <c r="HL38" s="306"/>
      <c r="HM38" s="306"/>
      <c r="HN38" s="306"/>
      <c r="HO38" s="306"/>
      <c r="HP38" s="306"/>
      <c r="HQ38" s="307"/>
      <c r="HR38" s="306"/>
      <c r="HS38" s="306"/>
      <c r="HT38" s="306"/>
      <c r="HU38" s="306"/>
      <c r="HV38" s="306"/>
      <c r="HW38" s="306"/>
      <c r="HX38" s="306"/>
      <c r="HY38" s="306"/>
      <c r="HZ38" s="306"/>
      <c r="IA38" s="306"/>
      <c r="IB38" s="306"/>
      <c r="IC38" s="306"/>
      <c r="ID38" s="306"/>
      <c r="IE38" s="306"/>
      <c r="IF38" s="306"/>
      <c r="IG38" s="306"/>
      <c r="IH38" s="306"/>
      <c r="II38" s="306"/>
      <c r="IJ38" s="306"/>
      <c r="IK38" s="307"/>
      <c r="IL38" s="306"/>
      <c r="IM38" s="306"/>
      <c r="IN38" s="306"/>
      <c r="IO38" s="306"/>
      <c r="IP38" s="306"/>
      <c r="IQ38" s="306"/>
      <c r="IR38" s="306"/>
      <c r="IS38" s="306"/>
      <c r="IT38" s="306"/>
      <c r="IU38" s="306"/>
      <c r="IV38" s="306"/>
      <c r="IW38" s="306"/>
      <c r="IX38" s="306"/>
      <c r="IY38" s="306"/>
      <c r="IZ38" s="306"/>
      <c r="JA38" s="306"/>
      <c r="JB38" s="306"/>
      <c r="JC38" s="306"/>
      <c r="JD38" s="306"/>
      <c r="JE38" s="307"/>
    </row>
    <row r="39" spans="2:265" x14ac:dyDescent="0.25">
      <c r="B39" s="102"/>
      <c r="C39" s="40"/>
      <c r="D39" s="40" t="s">
        <v>219</v>
      </c>
      <c r="E39" s="102" t="s">
        <v>101</v>
      </c>
      <c r="F39" s="196">
        <v>89</v>
      </c>
      <c r="G39" s="196">
        <v>94.34</v>
      </c>
      <c r="H39" s="196">
        <v>100.0004</v>
      </c>
      <c r="I39" s="196">
        <v>106.000424</v>
      </c>
      <c r="J39" s="196">
        <v>112.36044944</v>
      </c>
      <c r="K39" s="196">
        <v>119.1020764064</v>
      </c>
      <c r="L39" s="196">
        <v>126.248200990784</v>
      </c>
      <c r="M39" s="196">
        <v>133.82309305023105</v>
      </c>
      <c r="N39" s="196">
        <v>141.85247863324491</v>
      </c>
      <c r="O39" s="196">
        <v>150.36362735123961</v>
      </c>
      <c r="P39" s="196">
        <v>159.38544499231398</v>
      </c>
      <c r="Q39" s="196">
        <v>168.94857169185281</v>
      </c>
      <c r="R39" s="196">
        <v>179.08548599336396</v>
      </c>
      <c r="S39" s="196">
        <v>189.83061515296581</v>
      </c>
      <c r="T39" s="196">
        <v>201.22045206214375</v>
      </c>
      <c r="U39" s="196">
        <v>213.29367918587238</v>
      </c>
      <c r="V39" s="196">
        <v>226.09129993702473</v>
      </c>
      <c r="W39" s="196">
        <v>239.65677793324622</v>
      </c>
      <c r="X39" s="196">
        <v>254.03618460924099</v>
      </c>
      <c r="Y39" s="205">
        <v>269.27835568579547</v>
      </c>
      <c r="Z39" s="306"/>
      <c r="AA39" s="306"/>
      <c r="AB39" s="306"/>
      <c r="AC39" s="306"/>
      <c r="AD39" s="306"/>
      <c r="AE39" s="306"/>
      <c r="AF39" s="306"/>
      <c r="AG39" s="306"/>
      <c r="AH39" s="306"/>
      <c r="AI39" s="306"/>
      <c r="AJ39" s="306"/>
      <c r="AK39" s="306"/>
      <c r="AL39" s="306"/>
      <c r="AM39" s="306"/>
      <c r="AN39" s="306"/>
      <c r="AO39" s="306"/>
      <c r="AP39" s="306"/>
      <c r="AQ39" s="306"/>
      <c r="AR39" s="306"/>
      <c r="AS39" s="307"/>
      <c r="AT39" s="306"/>
      <c r="AU39" s="306"/>
      <c r="AV39" s="306"/>
      <c r="AW39" s="306"/>
      <c r="AX39" s="306"/>
      <c r="AY39" s="306"/>
      <c r="AZ39" s="306"/>
      <c r="BA39" s="306"/>
      <c r="BB39" s="306"/>
      <c r="BC39" s="306"/>
      <c r="BD39" s="306"/>
      <c r="BE39" s="306"/>
      <c r="BF39" s="306"/>
      <c r="BG39" s="306"/>
      <c r="BH39" s="306"/>
      <c r="BI39" s="306"/>
      <c r="BJ39" s="306"/>
      <c r="BK39" s="306"/>
      <c r="BL39" s="306"/>
      <c r="BM39" s="307"/>
      <c r="BN39" s="306"/>
      <c r="BO39" s="306"/>
      <c r="BP39" s="306"/>
      <c r="BQ39" s="306"/>
      <c r="BR39" s="306"/>
      <c r="BS39" s="306"/>
      <c r="BT39" s="306"/>
      <c r="BU39" s="306"/>
      <c r="BV39" s="306"/>
      <c r="BW39" s="306"/>
      <c r="BX39" s="306"/>
      <c r="BY39" s="306"/>
      <c r="BZ39" s="306"/>
      <c r="CA39" s="306"/>
      <c r="CB39" s="306"/>
      <c r="CC39" s="306"/>
      <c r="CD39" s="306"/>
      <c r="CE39" s="306"/>
      <c r="CF39" s="306"/>
      <c r="CG39" s="307"/>
      <c r="CH39" s="306"/>
      <c r="CI39" s="306"/>
      <c r="CJ39" s="306"/>
      <c r="CK39" s="306"/>
      <c r="CL39" s="306"/>
      <c r="CM39" s="306"/>
      <c r="CN39" s="306"/>
      <c r="CO39" s="306"/>
      <c r="CP39" s="306"/>
      <c r="CQ39" s="306"/>
      <c r="CR39" s="306"/>
      <c r="CS39" s="306"/>
      <c r="CT39" s="306"/>
      <c r="CU39" s="306"/>
      <c r="CV39" s="306"/>
      <c r="CW39" s="306"/>
      <c r="CX39" s="306"/>
      <c r="CY39" s="306"/>
      <c r="CZ39" s="306"/>
      <c r="DA39" s="307"/>
      <c r="DB39" s="306"/>
      <c r="DC39" s="306"/>
      <c r="DD39" s="306"/>
      <c r="DE39" s="306"/>
      <c r="DF39" s="306"/>
      <c r="DG39" s="306"/>
      <c r="DH39" s="306"/>
      <c r="DI39" s="306"/>
      <c r="DJ39" s="306"/>
      <c r="DK39" s="306"/>
      <c r="DL39" s="306"/>
      <c r="DM39" s="306"/>
      <c r="DN39" s="306"/>
      <c r="DO39" s="306"/>
      <c r="DP39" s="306"/>
      <c r="DQ39" s="306"/>
      <c r="DR39" s="306"/>
      <c r="DS39" s="306"/>
      <c r="DT39" s="306"/>
      <c r="DU39" s="307"/>
      <c r="DV39" s="306"/>
      <c r="DW39" s="306"/>
      <c r="DX39" s="306"/>
      <c r="DY39" s="306"/>
      <c r="DZ39" s="306"/>
      <c r="EA39" s="306"/>
      <c r="EB39" s="306"/>
      <c r="EC39" s="306"/>
      <c r="ED39" s="306"/>
      <c r="EE39" s="306"/>
      <c r="EF39" s="306"/>
      <c r="EG39" s="306"/>
      <c r="EH39" s="306"/>
      <c r="EI39" s="306"/>
      <c r="EJ39" s="306"/>
      <c r="EK39" s="306"/>
      <c r="EL39" s="306"/>
      <c r="EM39" s="306"/>
      <c r="EN39" s="306"/>
      <c r="EO39" s="307"/>
      <c r="EP39" s="306"/>
      <c r="EQ39" s="306"/>
      <c r="ER39" s="306"/>
      <c r="ES39" s="306"/>
      <c r="ET39" s="306"/>
      <c r="EU39" s="306"/>
      <c r="EV39" s="306"/>
      <c r="EW39" s="306"/>
      <c r="EX39" s="306"/>
      <c r="EY39" s="306"/>
      <c r="EZ39" s="306"/>
      <c r="FA39" s="306"/>
      <c r="FB39" s="306"/>
      <c r="FC39" s="306"/>
      <c r="FD39" s="306"/>
      <c r="FE39" s="306"/>
      <c r="FF39" s="306"/>
      <c r="FG39" s="306"/>
      <c r="FH39" s="306"/>
      <c r="FI39" s="307"/>
      <c r="FJ39" s="306"/>
      <c r="FK39" s="306"/>
      <c r="FL39" s="306"/>
      <c r="FM39" s="306"/>
      <c r="FN39" s="306"/>
      <c r="FO39" s="306"/>
      <c r="FP39" s="306"/>
      <c r="FQ39" s="306"/>
      <c r="FR39" s="306"/>
      <c r="FS39" s="306"/>
      <c r="FT39" s="306"/>
      <c r="FU39" s="306"/>
      <c r="FV39" s="306"/>
      <c r="FW39" s="306"/>
      <c r="FX39" s="306"/>
      <c r="FY39" s="306"/>
      <c r="FZ39" s="306"/>
      <c r="GA39" s="306"/>
      <c r="GB39" s="306"/>
      <c r="GC39" s="307"/>
      <c r="GD39" s="306"/>
      <c r="GE39" s="306"/>
      <c r="GF39" s="306"/>
      <c r="GG39" s="306"/>
      <c r="GH39" s="306"/>
      <c r="GI39" s="306"/>
      <c r="GJ39" s="306"/>
      <c r="GK39" s="306"/>
      <c r="GL39" s="306"/>
      <c r="GM39" s="306"/>
      <c r="GN39" s="306"/>
      <c r="GO39" s="306"/>
      <c r="GP39" s="306"/>
      <c r="GQ39" s="306"/>
      <c r="GR39" s="306"/>
      <c r="GS39" s="306"/>
      <c r="GT39" s="306"/>
      <c r="GU39" s="306"/>
      <c r="GV39" s="306"/>
      <c r="GW39" s="307"/>
      <c r="GX39" s="306"/>
      <c r="GY39" s="306"/>
      <c r="GZ39" s="306"/>
      <c r="HA39" s="306"/>
      <c r="HB39" s="306"/>
      <c r="HC39" s="306"/>
      <c r="HD39" s="306"/>
      <c r="HE39" s="306"/>
      <c r="HF39" s="306"/>
      <c r="HG39" s="306"/>
      <c r="HH39" s="306"/>
      <c r="HI39" s="306"/>
      <c r="HJ39" s="306"/>
      <c r="HK39" s="306"/>
      <c r="HL39" s="306"/>
      <c r="HM39" s="306"/>
      <c r="HN39" s="306"/>
      <c r="HO39" s="306"/>
      <c r="HP39" s="306"/>
      <c r="HQ39" s="307"/>
      <c r="HR39" s="306"/>
      <c r="HS39" s="306"/>
      <c r="HT39" s="306"/>
      <c r="HU39" s="306"/>
      <c r="HV39" s="306"/>
      <c r="HW39" s="306"/>
      <c r="HX39" s="306"/>
      <c r="HY39" s="306"/>
      <c r="HZ39" s="306"/>
      <c r="IA39" s="306"/>
      <c r="IB39" s="306"/>
      <c r="IC39" s="306"/>
      <c r="ID39" s="306"/>
      <c r="IE39" s="306"/>
      <c r="IF39" s="306"/>
      <c r="IG39" s="306"/>
      <c r="IH39" s="306"/>
      <c r="II39" s="306"/>
      <c r="IJ39" s="306"/>
      <c r="IK39" s="307"/>
      <c r="IL39" s="306"/>
      <c r="IM39" s="306"/>
      <c r="IN39" s="306"/>
      <c r="IO39" s="306"/>
      <c r="IP39" s="306"/>
      <c r="IQ39" s="306"/>
      <c r="IR39" s="306"/>
      <c r="IS39" s="306"/>
      <c r="IT39" s="306"/>
      <c r="IU39" s="306"/>
      <c r="IV39" s="306"/>
      <c r="IW39" s="306"/>
      <c r="IX39" s="306"/>
      <c r="IY39" s="306"/>
      <c r="IZ39" s="306"/>
      <c r="JA39" s="306"/>
      <c r="JB39" s="306"/>
      <c r="JC39" s="306"/>
      <c r="JD39" s="306"/>
      <c r="JE39" s="307"/>
    </row>
    <row r="40" spans="2:265" x14ac:dyDescent="0.25">
      <c r="B40" s="102"/>
      <c r="C40" s="40"/>
      <c r="D40" s="40" t="s">
        <v>220</v>
      </c>
      <c r="E40" s="102" t="s">
        <v>101</v>
      </c>
      <c r="F40" s="196">
        <v>301</v>
      </c>
      <c r="G40" s="196">
        <v>319.06</v>
      </c>
      <c r="H40" s="196">
        <v>338.20359999999999</v>
      </c>
      <c r="I40" s="196">
        <v>358.49581599999999</v>
      </c>
      <c r="J40" s="196">
        <v>380.00556496000002</v>
      </c>
      <c r="K40" s="196">
        <v>402.80589885760003</v>
      </c>
      <c r="L40" s="196">
        <v>426.97425278905604</v>
      </c>
      <c r="M40" s="196">
        <v>452.59270795639941</v>
      </c>
      <c r="N40" s="196">
        <v>479.74827043378338</v>
      </c>
      <c r="O40" s="196">
        <v>508.53316665981038</v>
      </c>
      <c r="P40" s="196">
        <v>539.04515665939903</v>
      </c>
      <c r="Q40" s="196">
        <v>571.38786605896291</v>
      </c>
      <c r="R40" s="196">
        <v>605.67113802250071</v>
      </c>
      <c r="S40" s="196">
        <v>642.01140630385078</v>
      </c>
      <c r="T40" s="196">
        <v>680.53209068208184</v>
      </c>
      <c r="U40" s="196">
        <v>721.36401612300676</v>
      </c>
      <c r="V40" s="196">
        <v>764.64585709038715</v>
      </c>
      <c r="W40" s="196">
        <v>810.52460851581043</v>
      </c>
      <c r="X40" s="196">
        <v>859.156085026759</v>
      </c>
      <c r="Y40" s="205">
        <v>910.70545012836453</v>
      </c>
      <c r="Z40" s="306"/>
      <c r="AA40" s="306"/>
      <c r="AB40" s="306"/>
      <c r="AC40" s="306"/>
      <c r="AD40" s="306"/>
      <c r="AE40" s="306"/>
      <c r="AF40" s="306"/>
      <c r="AG40" s="306"/>
      <c r="AH40" s="306"/>
      <c r="AI40" s="306"/>
      <c r="AJ40" s="306"/>
      <c r="AK40" s="306"/>
      <c r="AL40" s="306"/>
      <c r="AM40" s="306"/>
      <c r="AN40" s="306"/>
      <c r="AO40" s="306"/>
      <c r="AP40" s="306"/>
      <c r="AQ40" s="306"/>
      <c r="AR40" s="306"/>
      <c r="AS40" s="307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/>
      <c r="BD40" s="306"/>
      <c r="BE40" s="306"/>
      <c r="BF40" s="306"/>
      <c r="BG40" s="306"/>
      <c r="BH40" s="306"/>
      <c r="BI40" s="306"/>
      <c r="BJ40" s="306"/>
      <c r="BK40" s="306"/>
      <c r="BL40" s="306"/>
      <c r="BM40" s="307"/>
      <c r="BN40" s="306"/>
      <c r="BO40" s="306"/>
      <c r="BP40" s="306"/>
      <c r="BQ40" s="306"/>
      <c r="BR40" s="306"/>
      <c r="BS40" s="306"/>
      <c r="BT40" s="306"/>
      <c r="BU40" s="306"/>
      <c r="BV40" s="306"/>
      <c r="BW40" s="306"/>
      <c r="BX40" s="306"/>
      <c r="BY40" s="306"/>
      <c r="BZ40" s="306"/>
      <c r="CA40" s="306"/>
      <c r="CB40" s="306"/>
      <c r="CC40" s="306"/>
      <c r="CD40" s="306"/>
      <c r="CE40" s="306"/>
      <c r="CF40" s="306"/>
      <c r="CG40" s="307"/>
      <c r="CH40" s="306"/>
      <c r="CI40" s="306"/>
      <c r="CJ40" s="306"/>
      <c r="CK40" s="306"/>
      <c r="CL40" s="306"/>
      <c r="CM40" s="306"/>
      <c r="CN40" s="306"/>
      <c r="CO40" s="306"/>
      <c r="CP40" s="306"/>
      <c r="CQ40" s="306"/>
      <c r="CR40" s="306"/>
      <c r="CS40" s="306"/>
      <c r="CT40" s="306"/>
      <c r="CU40" s="306"/>
      <c r="CV40" s="306"/>
      <c r="CW40" s="306"/>
      <c r="CX40" s="306"/>
      <c r="CY40" s="306"/>
      <c r="CZ40" s="306"/>
      <c r="DA40" s="307"/>
      <c r="DB40" s="306"/>
      <c r="DC40" s="306"/>
      <c r="DD40" s="306"/>
      <c r="DE40" s="306"/>
      <c r="DF40" s="306"/>
      <c r="DG40" s="306"/>
      <c r="DH40" s="306"/>
      <c r="DI40" s="306"/>
      <c r="DJ40" s="306"/>
      <c r="DK40" s="306"/>
      <c r="DL40" s="306"/>
      <c r="DM40" s="306"/>
      <c r="DN40" s="306"/>
      <c r="DO40" s="306"/>
      <c r="DP40" s="306"/>
      <c r="DQ40" s="306"/>
      <c r="DR40" s="306"/>
      <c r="DS40" s="306"/>
      <c r="DT40" s="306"/>
      <c r="DU40" s="307"/>
      <c r="DV40" s="306"/>
      <c r="DW40" s="306"/>
      <c r="DX40" s="306"/>
      <c r="DY40" s="306"/>
      <c r="DZ40" s="306"/>
      <c r="EA40" s="306"/>
      <c r="EB40" s="306"/>
      <c r="EC40" s="306"/>
      <c r="ED40" s="306"/>
      <c r="EE40" s="306"/>
      <c r="EF40" s="306"/>
      <c r="EG40" s="306"/>
      <c r="EH40" s="306"/>
      <c r="EI40" s="306"/>
      <c r="EJ40" s="306"/>
      <c r="EK40" s="306"/>
      <c r="EL40" s="306"/>
      <c r="EM40" s="306"/>
      <c r="EN40" s="306"/>
      <c r="EO40" s="307"/>
      <c r="EP40" s="306"/>
      <c r="EQ40" s="306"/>
      <c r="ER40" s="306"/>
      <c r="ES40" s="306"/>
      <c r="ET40" s="306"/>
      <c r="EU40" s="306"/>
      <c r="EV40" s="306"/>
      <c r="EW40" s="306"/>
      <c r="EX40" s="306"/>
      <c r="EY40" s="306"/>
      <c r="EZ40" s="306"/>
      <c r="FA40" s="306"/>
      <c r="FB40" s="306"/>
      <c r="FC40" s="306"/>
      <c r="FD40" s="306"/>
      <c r="FE40" s="306"/>
      <c r="FF40" s="306"/>
      <c r="FG40" s="306"/>
      <c r="FH40" s="306"/>
      <c r="FI40" s="307"/>
      <c r="FJ40" s="306"/>
      <c r="FK40" s="306"/>
      <c r="FL40" s="306"/>
      <c r="FM40" s="306"/>
      <c r="FN40" s="306"/>
      <c r="FO40" s="306"/>
      <c r="FP40" s="306"/>
      <c r="FQ40" s="306"/>
      <c r="FR40" s="306"/>
      <c r="FS40" s="306"/>
      <c r="FT40" s="306"/>
      <c r="FU40" s="306"/>
      <c r="FV40" s="306"/>
      <c r="FW40" s="306"/>
      <c r="FX40" s="306"/>
      <c r="FY40" s="306"/>
      <c r="FZ40" s="306"/>
      <c r="GA40" s="306"/>
      <c r="GB40" s="306"/>
      <c r="GC40" s="307"/>
      <c r="GD40" s="306"/>
      <c r="GE40" s="306"/>
      <c r="GF40" s="306"/>
      <c r="GG40" s="306"/>
      <c r="GH40" s="306"/>
      <c r="GI40" s="306"/>
      <c r="GJ40" s="306"/>
      <c r="GK40" s="306"/>
      <c r="GL40" s="306"/>
      <c r="GM40" s="306"/>
      <c r="GN40" s="306"/>
      <c r="GO40" s="306"/>
      <c r="GP40" s="306"/>
      <c r="GQ40" s="306"/>
      <c r="GR40" s="306"/>
      <c r="GS40" s="306"/>
      <c r="GT40" s="306"/>
      <c r="GU40" s="306"/>
      <c r="GV40" s="306"/>
      <c r="GW40" s="307"/>
      <c r="GX40" s="306"/>
      <c r="GY40" s="306"/>
      <c r="GZ40" s="306"/>
      <c r="HA40" s="306"/>
      <c r="HB40" s="306"/>
      <c r="HC40" s="306"/>
      <c r="HD40" s="306"/>
      <c r="HE40" s="306"/>
      <c r="HF40" s="306"/>
      <c r="HG40" s="306"/>
      <c r="HH40" s="306"/>
      <c r="HI40" s="306"/>
      <c r="HJ40" s="306"/>
      <c r="HK40" s="306"/>
      <c r="HL40" s="306"/>
      <c r="HM40" s="306"/>
      <c r="HN40" s="306"/>
      <c r="HO40" s="306"/>
      <c r="HP40" s="306"/>
      <c r="HQ40" s="307"/>
      <c r="HR40" s="306"/>
      <c r="HS40" s="306"/>
      <c r="HT40" s="306"/>
      <c r="HU40" s="306"/>
      <c r="HV40" s="306"/>
      <c r="HW40" s="306"/>
      <c r="HX40" s="306"/>
      <c r="HY40" s="306"/>
      <c r="HZ40" s="306"/>
      <c r="IA40" s="306"/>
      <c r="IB40" s="306"/>
      <c r="IC40" s="306"/>
      <c r="ID40" s="306"/>
      <c r="IE40" s="306"/>
      <c r="IF40" s="306"/>
      <c r="IG40" s="306"/>
      <c r="IH40" s="306"/>
      <c r="II40" s="306"/>
      <c r="IJ40" s="306"/>
      <c r="IK40" s="307"/>
      <c r="IL40" s="306"/>
      <c r="IM40" s="306"/>
      <c r="IN40" s="306"/>
      <c r="IO40" s="306"/>
      <c r="IP40" s="306"/>
      <c r="IQ40" s="306"/>
      <c r="IR40" s="306"/>
      <c r="IS40" s="306"/>
      <c r="IT40" s="306"/>
      <c r="IU40" s="306"/>
      <c r="IV40" s="306"/>
      <c r="IW40" s="306"/>
      <c r="IX40" s="306"/>
      <c r="IY40" s="306"/>
      <c r="IZ40" s="306"/>
      <c r="JA40" s="306"/>
      <c r="JB40" s="306"/>
      <c r="JC40" s="306"/>
      <c r="JD40" s="306"/>
      <c r="JE40" s="307"/>
    </row>
    <row r="41" spans="2:265" x14ac:dyDescent="0.25">
      <c r="B41" s="102"/>
      <c r="C41" s="40"/>
      <c r="D41" s="40" t="s">
        <v>221</v>
      </c>
      <c r="E41" s="102" t="s">
        <v>101</v>
      </c>
      <c r="F41" s="196">
        <v>55.666666666666671</v>
      </c>
      <c r="G41" s="196">
        <v>59.006666666666675</v>
      </c>
      <c r="H41" s="196">
        <v>62.547066666666673</v>
      </c>
      <c r="I41" s="196">
        <v>66.29989066666667</v>
      </c>
      <c r="J41" s="196">
        <v>70.277884106666676</v>
      </c>
      <c r="K41" s="196">
        <v>74.49455715306668</v>
      </c>
      <c r="L41" s="196">
        <v>78.964230582250678</v>
      </c>
      <c r="M41" s="196">
        <v>83.702084417185716</v>
      </c>
      <c r="N41" s="196">
        <v>88.724209482216864</v>
      </c>
      <c r="O41" s="196">
        <v>94.047662051149871</v>
      </c>
      <c r="P41" s="196">
        <v>99.690521774218865</v>
      </c>
      <c r="Q41" s="196">
        <v>105.671953080672</v>
      </c>
      <c r="R41" s="196">
        <v>112.01227026551231</v>
      </c>
      <c r="S41" s="196">
        <v>118.73300648144306</v>
      </c>
      <c r="T41" s="196">
        <v>125.85698687032964</v>
      </c>
      <c r="U41" s="196">
        <v>133.40840608254942</v>
      </c>
      <c r="V41" s="196">
        <v>141.41291044750238</v>
      </c>
      <c r="W41" s="196">
        <v>149.89768507435252</v>
      </c>
      <c r="X41" s="196">
        <v>158.89154617881368</v>
      </c>
      <c r="Y41" s="205">
        <v>168.42503894954251</v>
      </c>
      <c r="Z41" s="306"/>
      <c r="AA41" s="306"/>
      <c r="AB41" s="306"/>
      <c r="AC41" s="306"/>
      <c r="AD41" s="306"/>
      <c r="AE41" s="306"/>
      <c r="AF41" s="306"/>
      <c r="AG41" s="306"/>
      <c r="AH41" s="306"/>
      <c r="AI41" s="306"/>
      <c r="AJ41" s="306"/>
      <c r="AK41" s="306"/>
      <c r="AL41" s="306"/>
      <c r="AM41" s="306"/>
      <c r="AN41" s="306"/>
      <c r="AO41" s="306"/>
      <c r="AP41" s="306"/>
      <c r="AQ41" s="306"/>
      <c r="AR41" s="306"/>
      <c r="AS41" s="307"/>
      <c r="AT41" s="306"/>
      <c r="AU41" s="306"/>
      <c r="AV41" s="306"/>
      <c r="AW41" s="306"/>
      <c r="AX41" s="306"/>
      <c r="AY41" s="306"/>
      <c r="AZ41" s="306"/>
      <c r="BA41" s="306"/>
      <c r="BB41" s="306"/>
      <c r="BC41" s="306"/>
      <c r="BD41" s="306"/>
      <c r="BE41" s="306"/>
      <c r="BF41" s="306"/>
      <c r="BG41" s="306"/>
      <c r="BH41" s="306"/>
      <c r="BI41" s="306"/>
      <c r="BJ41" s="306"/>
      <c r="BK41" s="306"/>
      <c r="BL41" s="306"/>
      <c r="BM41" s="307"/>
      <c r="BN41" s="306"/>
      <c r="BO41" s="306"/>
      <c r="BP41" s="306"/>
      <c r="BQ41" s="306"/>
      <c r="BR41" s="306"/>
      <c r="BS41" s="306"/>
      <c r="BT41" s="306"/>
      <c r="BU41" s="306"/>
      <c r="BV41" s="306"/>
      <c r="BW41" s="306"/>
      <c r="BX41" s="306"/>
      <c r="BY41" s="306"/>
      <c r="BZ41" s="306"/>
      <c r="CA41" s="306"/>
      <c r="CB41" s="306"/>
      <c r="CC41" s="306"/>
      <c r="CD41" s="306"/>
      <c r="CE41" s="306"/>
      <c r="CF41" s="306"/>
      <c r="CG41" s="307"/>
      <c r="CH41" s="306"/>
      <c r="CI41" s="306"/>
      <c r="CJ41" s="306"/>
      <c r="CK41" s="306"/>
      <c r="CL41" s="306"/>
      <c r="CM41" s="306"/>
      <c r="CN41" s="306"/>
      <c r="CO41" s="306"/>
      <c r="CP41" s="306"/>
      <c r="CQ41" s="306"/>
      <c r="CR41" s="306"/>
      <c r="CS41" s="306"/>
      <c r="CT41" s="306"/>
      <c r="CU41" s="306"/>
      <c r="CV41" s="306"/>
      <c r="CW41" s="306"/>
      <c r="CX41" s="306"/>
      <c r="CY41" s="306"/>
      <c r="CZ41" s="306"/>
      <c r="DA41" s="307"/>
      <c r="DB41" s="306"/>
      <c r="DC41" s="306"/>
      <c r="DD41" s="306"/>
      <c r="DE41" s="306"/>
      <c r="DF41" s="306"/>
      <c r="DG41" s="306"/>
      <c r="DH41" s="306"/>
      <c r="DI41" s="306"/>
      <c r="DJ41" s="306"/>
      <c r="DK41" s="306"/>
      <c r="DL41" s="306"/>
      <c r="DM41" s="306"/>
      <c r="DN41" s="306"/>
      <c r="DO41" s="306"/>
      <c r="DP41" s="306"/>
      <c r="DQ41" s="306"/>
      <c r="DR41" s="306"/>
      <c r="DS41" s="306"/>
      <c r="DT41" s="306"/>
      <c r="DU41" s="307"/>
      <c r="DV41" s="306"/>
      <c r="DW41" s="306"/>
      <c r="DX41" s="306"/>
      <c r="DY41" s="306"/>
      <c r="DZ41" s="306"/>
      <c r="EA41" s="306"/>
      <c r="EB41" s="306"/>
      <c r="EC41" s="306"/>
      <c r="ED41" s="306"/>
      <c r="EE41" s="306"/>
      <c r="EF41" s="306"/>
      <c r="EG41" s="306"/>
      <c r="EH41" s="306"/>
      <c r="EI41" s="306"/>
      <c r="EJ41" s="306"/>
      <c r="EK41" s="306"/>
      <c r="EL41" s="306"/>
      <c r="EM41" s="306"/>
      <c r="EN41" s="306"/>
      <c r="EO41" s="307"/>
      <c r="EP41" s="306"/>
      <c r="EQ41" s="306"/>
      <c r="ER41" s="306"/>
      <c r="ES41" s="306"/>
      <c r="ET41" s="306"/>
      <c r="EU41" s="306"/>
      <c r="EV41" s="306"/>
      <c r="EW41" s="306"/>
      <c r="EX41" s="306"/>
      <c r="EY41" s="306"/>
      <c r="EZ41" s="306"/>
      <c r="FA41" s="306"/>
      <c r="FB41" s="306"/>
      <c r="FC41" s="306"/>
      <c r="FD41" s="306"/>
      <c r="FE41" s="306"/>
      <c r="FF41" s="306"/>
      <c r="FG41" s="306"/>
      <c r="FH41" s="306"/>
      <c r="FI41" s="307"/>
      <c r="FJ41" s="306"/>
      <c r="FK41" s="306"/>
      <c r="FL41" s="306"/>
      <c r="FM41" s="306"/>
      <c r="FN41" s="306"/>
      <c r="FO41" s="306"/>
      <c r="FP41" s="306"/>
      <c r="FQ41" s="306"/>
      <c r="FR41" s="306"/>
      <c r="FS41" s="306"/>
      <c r="FT41" s="306"/>
      <c r="FU41" s="306"/>
      <c r="FV41" s="306"/>
      <c r="FW41" s="306"/>
      <c r="FX41" s="306"/>
      <c r="FY41" s="306"/>
      <c r="FZ41" s="306"/>
      <c r="GA41" s="306"/>
      <c r="GB41" s="306"/>
      <c r="GC41" s="307"/>
      <c r="GD41" s="306"/>
      <c r="GE41" s="306"/>
      <c r="GF41" s="306"/>
      <c r="GG41" s="306"/>
      <c r="GH41" s="306"/>
      <c r="GI41" s="306"/>
      <c r="GJ41" s="306"/>
      <c r="GK41" s="306"/>
      <c r="GL41" s="306"/>
      <c r="GM41" s="306"/>
      <c r="GN41" s="306"/>
      <c r="GO41" s="306"/>
      <c r="GP41" s="306"/>
      <c r="GQ41" s="306"/>
      <c r="GR41" s="306"/>
      <c r="GS41" s="306"/>
      <c r="GT41" s="306"/>
      <c r="GU41" s="306"/>
      <c r="GV41" s="306"/>
      <c r="GW41" s="307"/>
      <c r="GX41" s="306"/>
      <c r="GY41" s="306"/>
      <c r="GZ41" s="306"/>
      <c r="HA41" s="306"/>
      <c r="HB41" s="306"/>
      <c r="HC41" s="306"/>
      <c r="HD41" s="306"/>
      <c r="HE41" s="306"/>
      <c r="HF41" s="306"/>
      <c r="HG41" s="306"/>
      <c r="HH41" s="306"/>
      <c r="HI41" s="306"/>
      <c r="HJ41" s="306"/>
      <c r="HK41" s="306"/>
      <c r="HL41" s="306"/>
      <c r="HM41" s="306"/>
      <c r="HN41" s="306"/>
      <c r="HO41" s="306"/>
      <c r="HP41" s="306"/>
      <c r="HQ41" s="307"/>
      <c r="HR41" s="306"/>
      <c r="HS41" s="306"/>
      <c r="HT41" s="306"/>
      <c r="HU41" s="306"/>
      <c r="HV41" s="306"/>
      <c r="HW41" s="306"/>
      <c r="HX41" s="306"/>
      <c r="HY41" s="306"/>
      <c r="HZ41" s="306"/>
      <c r="IA41" s="306"/>
      <c r="IB41" s="306"/>
      <c r="IC41" s="306"/>
      <c r="ID41" s="306"/>
      <c r="IE41" s="306"/>
      <c r="IF41" s="306"/>
      <c r="IG41" s="306"/>
      <c r="IH41" s="306"/>
      <c r="II41" s="306"/>
      <c r="IJ41" s="306"/>
      <c r="IK41" s="307"/>
      <c r="IL41" s="306"/>
      <c r="IM41" s="306"/>
      <c r="IN41" s="306"/>
      <c r="IO41" s="306"/>
      <c r="IP41" s="306"/>
      <c r="IQ41" s="306"/>
      <c r="IR41" s="306"/>
      <c r="IS41" s="306"/>
      <c r="IT41" s="306"/>
      <c r="IU41" s="306"/>
      <c r="IV41" s="306"/>
      <c r="IW41" s="306"/>
      <c r="IX41" s="306"/>
      <c r="IY41" s="306"/>
      <c r="IZ41" s="306"/>
      <c r="JA41" s="306"/>
      <c r="JB41" s="306"/>
      <c r="JC41" s="306"/>
      <c r="JD41" s="306"/>
      <c r="JE41" s="307"/>
    </row>
    <row r="42" spans="2:265" x14ac:dyDescent="0.25">
      <c r="B42" s="102"/>
      <c r="C42" s="40"/>
      <c r="D42" s="40" t="s">
        <v>222</v>
      </c>
      <c r="E42" s="102" t="s">
        <v>101</v>
      </c>
      <c r="F42" s="196">
        <v>55.666666666666671</v>
      </c>
      <c r="G42" s="196">
        <v>59.006666666666675</v>
      </c>
      <c r="H42" s="196">
        <v>62.547066666666673</v>
      </c>
      <c r="I42" s="196">
        <v>66.29989066666667</v>
      </c>
      <c r="J42" s="196">
        <v>70.277884106666676</v>
      </c>
      <c r="K42" s="196">
        <v>74.49455715306668</v>
      </c>
      <c r="L42" s="196">
        <v>78.964230582250678</v>
      </c>
      <c r="M42" s="196">
        <v>83.702084417185716</v>
      </c>
      <c r="N42" s="196">
        <v>88.724209482216864</v>
      </c>
      <c r="O42" s="196">
        <v>94.047662051149871</v>
      </c>
      <c r="P42" s="196">
        <v>99.690521774218865</v>
      </c>
      <c r="Q42" s="196">
        <v>105.671953080672</v>
      </c>
      <c r="R42" s="196">
        <v>112.01227026551231</v>
      </c>
      <c r="S42" s="196">
        <v>118.73300648144306</v>
      </c>
      <c r="T42" s="196">
        <v>125.85698687032964</v>
      </c>
      <c r="U42" s="196">
        <v>133.40840608254942</v>
      </c>
      <c r="V42" s="196">
        <v>141.41291044750238</v>
      </c>
      <c r="W42" s="196">
        <v>149.89768507435252</v>
      </c>
      <c r="X42" s="196">
        <v>158.89154617881368</v>
      </c>
      <c r="Y42" s="205">
        <v>168.42503894954251</v>
      </c>
      <c r="Z42" s="306"/>
      <c r="AA42" s="306"/>
      <c r="AB42" s="306"/>
      <c r="AC42" s="306"/>
      <c r="AD42" s="306"/>
      <c r="AE42" s="306"/>
      <c r="AF42" s="306"/>
      <c r="AG42" s="306"/>
      <c r="AH42" s="306"/>
      <c r="AI42" s="306"/>
      <c r="AJ42" s="306"/>
      <c r="AK42" s="306"/>
      <c r="AL42" s="306"/>
      <c r="AM42" s="306"/>
      <c r="AN42" s="306"/>
      <c r="AO42" s="306"/>
      <c r="AP42" s="306"/>
      <c r="AQ42" s="306"/>
      <c r="AR42" s="306"/>
      <c r="AS42" s="307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/>
      <c r="BD42" s="306"/>
      <c r="BE42" s="306"/>
      <c r="BF42" s="306"/>
      <c r="BG42" s="306"/>
      <c r="BH42" s="306"/>
      <c r="BI42" s="306"/>
      <c r="BJ42" s="306"/>
      <c r="BK42" s="306"/>
      <c r="BL42" s="306"/>
      <c r="BM42" s="307"/>
      <c r="BN42" s="306"/>
      <c r="BO42" s="306"/>
      <c r="BP42" s="306"/>
      <c r="BQ42" s="306"/>
      <c r="BR42" s="306"/>
      <c r="BS42" s="306"/>
      <c r="BT42" s="306"/>
      <c r="BU42" s="306"/>
      <c r="BV42" s="306"/>
      <c r="BW42" s="306"/>
      <c r="BX42" s="306"/>
      <c r="BY42" s="306"/>
      <c r="BZ42" s="306"/>
      <c r="CA42" s="306"/>
      <c r="CB42" s="306"/>
      <c r="CC42" s="306"/>
      <c r="CD42" s="306"/>
      <c r="CE42" s="306"/>
      <c r="CF42" s="306"/>
      <c r="CG42" s="307"/>
      <c r="CH42" s="306"/>
      <c r="CI42" s="306"/>
      <c r="CJ42" s="306"/>
      <c r="CK42" s="306"/>
      <c r="CL42" s="306"/>
      <c r="CM42" s="306"/>
      <c r="CN42" s="306"/>
      <c r="CO42" s="306"/>
      <c r="CP42" s="306"/>
      <c r="CQ42" s="306"/>
      <c r="CR42" s="306"/>
      <c r="CS42" s="306"/>
      <c r="CT42" s="306"/>
      <c r="CU42" s="306"/>
      <c r="CV42" s="306"/>
      <c r="CW42" s="306"/>
      <c r="CX42" s="306"/>
      <c r="CY42" s="306"/>
      <c r="CZ42" s="306"/>
      <c r="DA42" s="307"/>
      <c r="DB42" s="306"/>
      <c r="DC42" s="306"/>
      <c r="DD42" s="306"/>
      <c r="DE42" s="306"/>
      <c r="DF42" s="306"/>
      <c r="DG42" s="306"/>
      <c r="DH42" s="306"/>
      <c r="DI42" s="306"/>
      <c r="DJ42" s="306"/>
      <c r="DK42" s="306"/>
      <c r="DL42" s="306"/>
      <c r="DM42" s="306"/>
      <c r="DN42" s="306"/>
      <c r="DO42" s="306"/>
      <c r="DP42" s="306"/>
      <c r="DQ42" s="306"/>
      <c r="DR42" s="306"/>
      <c r="DS42" s="306"/>
      <c r="DT42" s="306"/>
      <c r="DU42" s="307"/>
      <c r="DV42" s="306"/>
      <c r="DW42" s="306"/>
      <c r="DX42" s="306"/>
      <c r="DY42" s="306"/>
      <c r="DZ42" s="306"/>
      <c r="EA42" s="306"/>
      <c r="EB42" s="306"/>
      <c r="EC42" s="306"/>
      <c r="ED42" s="306"/>
      <c r="EE42" s="306"/>
      <c r="EF42" s="306"/>
      <c r="EG42" s="306"/>
      <c r="EH42" s="306"/>
      <c r="EI42" s="306"/>
      <c r="EJ42" s="306"/>
      <c r="EK42" s="306"/>
      <c r="EL42" s="306"/>
      <c r="EM42" s="306"/>
      <c r="EN42" s="306"/>
      <c r="EO42" s="307"/>
      <c r="EP42" s="306"/>
      <c r="EQ42" s="306"/>
      <c r="ER42" s="306"/>
      <c r="ES42" s="306"/>
      <c r="ET42" s="306"/>
      <c r="EU42" s="306"/>
      <c r="EV42" s="306"/>
      <c r="EW42" s="306"/>
      <c r="EX42" s="306"/>
      <c r="EY42" s="306"/>
      <c r="EZ42" s="306"/>
      <c r="FA42" s="306"/>
      <c r="FB42" s="306"/>
      <c r="FC42" s="306"/>
      <c r="FD42" s="306"/>
      <c r="FE42" s="306"/>
      <c r="FF42" s="306"/>
      <c r="FG42" s="306"/>
      <c r="FH42" s="306"/>
      <c r="FI42" s="307"/>
      <c r="FJ42" s="306"/>
      <c r="FK42" s="306"/>
      <c r="FL42" s="306"/>
      <c r="FM42" s="306"/>
      <c r="FN42" s="306"/>
      <c r="FO42" s="306"/>
      <c r="FP42" s="306"/>
      <c r="FQ42" s="306"/>
      <c r="FR42" s="306"/>
      <c r="FS42" s="306"/>
      <c r="FT42" s="306"/>
      <c r="FU42" s="306"/>
      <c r="FV42" s="306"/>
      <c r="FW42" s="306"/>
      <c r="FX42" s="306"/>
      <c r="FY42" s="306"/>
      <c r="FZ42" s="306"/>
      <c r="GA42" s="306"/>
      <c r="GB42" s="306"/>
      <c r="GC42" s="307"/>
      <c r="GD42" s="306"/>
      <c r="GE42" s="306"/>
      <c r="GF42" s="306"/>
      <c r="GG42" s="306"/>
      <c r="GH42" s="306"/>
      <c r="GI42" s="306"/>
      <c r="GJ42" s="306"/>
      <c r="GK42" s="306"/>
      <c r="GL42" s="306"/>
      <c r="GM42" s="306"/>
      <c r="GN42" s="306"/>
      <c r="GO42" s="306"/>
      <c r="GP42" s="306"/>
      <c r="GQ42" s="306"/>
      <c r="GR42" s="306"/>
      <c r="GS42" s="306"/>
      <c r="GT42" s="306"/>
      <c r="GU42" s="306"/>
      <c r="GV42" s="306"/>
      <c r="GW42" s="307"/>
      <c r="GX42" s="306"/>
      <c r="GY42" s="306"/>
      <c r="GZ42" s="306"/>
      <c r="HA42" s="306"/>
      <c r="HB42" s="306"/>
      <c r="HC42" s="306"/>
      <c r="HD42" s="306"/>
      <c r="HE42" s="306"/>
      <c r="HF42" s="306"/>
      <c r="HG42" s="306"/>
      <c r="HH42" s="306"/>
      <c r="HI42" s="306"/>
      <c r="HJ42" s="306"/>
      <c r="HK42" s="306"/>
      <c r="HL42" s="306"/>
      <c r="HM42" s="306"/>
      <c r="HN42" s="306"/>
      <c r="HO42" s="306"/>
      <c r="HP42" s="306"/>
      <c r="HQ42" s="307"/>
      <c r="HR42" s="306"/>
      <c r="HS42" s="306"/>
      <c r="HT42" s="306"/>
      <c r="HU42" s="306"/>
      <c r="HV42" s="306"/>
      <c r="HW42" s="306"/>
      <c r="HX42" s="306"/>
      <c r="HY42" s="306"/>
      <c r="HZ42" s="306"/>
      <c r="IA42" s="306"/>
      <c r="IB42" s="306"/>
      <c r="IC42" s="306"/>
      <c r="ID42" s="306"/>
      <c r="IE42" s="306"/>
      <c r="IF42" s="306"/>
      <c r="IG42" s="306"/>
      <c r="IH42" s="306"/>
      <c r="II42" s="306"/>
      <c r="IJ42" s="306"/>
      <c r="IK42" s="307"/>
      <c r="IL42" s="306"/>
      <c r="IM42" s="306"/>
      <c r="IN42" s="306"/>
      <c r="IO42" s="306"/>
      <c r="IP42" s="306"/>
      <c r="IQ42" s="306"/>
      <c r="IR42" s="306"/>
      <c r="IS42" s="306"/>
      <c r="IT42" s="306"/>
      <c r="IU42" s="306"/>
      <c r="IV42" s="306"/>
      <c r="IW42" s="306"/>
      <c r="IX42" s="306"/>
      <c r="IY42" s="306"/>
      <c r="IZ42" s="306"/>
      <c r="JA42" s="306"/>
      <c r="JB42" s="306"/>
      <c r="JC42" s="306"/>
      <c r="JD42" s="306"/>
      <c r="JE42" s="307"/>
    </row>
    <row r="43" spans="2:265" x14ac:dyDescent="0.25">
      <c r="B43" s="102"/>
      <c r="C43" s="40"/>
      <c r="D43" s="72" t="s">
        <v>131</v>
      </c>
      <c r="E43" s="158" t="s">
        <v>101</v>
      </c>
      <c r="F43" s="308">
        <v>2000.0000000000002</v>
      </c>
      <c r="G43" s="308">
        <v>2120.0000000000005</v>
      </c>
      <c r="H43" s="308">
        <v>2247.1999999999998</v>
      </c>
      <c r="I43" s="308">
        <v>2382.0320000000002</v>
      </c>
      <c r="J43" s="308">
        <v>2524.9539199999995</v>
      </c>
      <c r="K43" s="308">
        <v>2676.4511551999999</v>
      </c>
      <c r="L43" s="308">
        <v>2837.0382245120009</v>
      </c>
      <c r="M43" s="308">
        <v>3007.2605179827201</v>
      </c>
      <c r="N43" s="308">
        <v>3187.6961490616836</v>
      </c>
      <c r="O43" s="308">
        <v>3378.9579180053843</v>
      </c>
      <c r="P43" s="308">
        <v>3581.6953930857071</v>
      </c>
      <c r="Q43" s="308">
        <v>3796.59711667085</v>
      </c>
      <c r="R43" s="308">
        <v>4024.3929436711001</v>
      </c>
      <c r="S43" s="308">
        <v>4265.8565202913678</v>
      </c>
      <c r="T43" s="308">
        <v>4521.8079115088494</v>
      </c>
      <c r="U43" s="308">
        <v>4793.11638619938</v>
      </c>
      <c r="V43" s="308">
        <v>5080.703369371342</v>
      </c>
      <c r="W43" s="308">
        <v>5385.5455715336238</v>
      </c>
      <c r="X43" s="308">
        <v>5708.6783058256406</v>
      </c>
      <c r="Y43" s="309">
        <v>6051.1990041751797</v>
      </c>
      <c r="Z43" s="310"/>
      <c r="AA43" s="310"/>
      <c r="AB43" s="310"/>
      <c r="AC43" s="310"/>
      <c r="AD43" s="310"/>
      <c r="AE43" s="310"/>
      <c r="AF43" s="310"/>
      <c r="AG43" s="310"/>
      <c r="AH43" s="310"/>
      <c r="AI43" s="310"/>
      <c r="AJ43" s="310"/>
      <c r="AK43" s="310"/>
      <c r="AL43" s="310"/>
      <c r="AM43" s="310"/>
      <c r="AN43" s="310"/>
      <c r="AO43" s="310"/>
      <c r="AP43" s="310"/>
      <c r="AQ43" s="310"/>
      <c r="AR43" s="310"/>
      <c r="AS43" s="311"/>
      <c r="AT43" s="310"/>
      <c r="AU43" s="310"/>
      <c r="AV43" s="310"/>
      <c r="AW43" s="310"/>
      <c r="AX43" s="310"/>
      <c r="AY43" s="310"/>
      <c r="AZ43" s="310"/>
      <c r="BA43" s="310"/>
      <c r="BB43" s="310"/>
      <c r="BC43" s="310"/>
      <c r="BD43" s="310"/>
      <c r="BE43" s="310"/>
      <c r="BF43" s="310"/>
      <c r="BG43" s="310"/>
      <c r="BH43" s="310"/>
      <c r="BI43" s="310"/>
      <c r="BJ43" s="310"/>
      <c r="BK43" s="310"/>
      <c r="BL43" s="310"/>
      <c r="BM43" s="311"/>
      <c r="BN43" s="310"/>
      <c r="BO43" s="310"/>
      <c r="BP43" s="310"/>
      <c r="BQ43" s="310"/>
      <c r="BR43" s="310"/>
      <c r="BS43" s="310"/>
      <c r="BT43" s="310"/>
      <c r="BU43" s="310"/>
      <c r="BV43" s="310"/>
      <c r="BW43" s="310"/>
      <c r="BX43" s="310"/>
      <c r="BY43" s="310"/>
      <c r="BZ43" s="310"/>
      <c r="CA43" s="310"/>
      <c r="CB43" s="310"/>
      <c r="CC43" s="310"/>
      <c r="CD43" s="310"/>
      <c r="CE43" s="310"/>
      <c r="CF43" s="310"/>
      <c r="CG43" s="311"/>
      <c r="CH43" s="310"/>
      <c r="CI43" s="310"/>
      <c r="CJ43" s="310"/>
      <c r="CK43" s="310"/>
      <c r="CL43" s="310"/>
      <c r="CM43" s="310"/>
      <c r="CN43" s="310"/>
      <c r="CO43" s="310"/>
      <c r="CP43" s="310"/>
      <c r="CQ43" s="310"/>
      <c r="CR43" s="310"/>
      <c r="CS43" s="310"/>
      <c r="CT43" s="310"/>
      <c r="CU43" s="310"/>
      <c r="CV43" s="310"/>
      <c r="CW43" s="310"/>
      <c r="CX43" s="310"/>
      <c r="CY43" s="310"/>
      <c r="CZ43" s="310"/>
      <c r="DA43" s="311"/>
      <c r="DB43" s="310"/>
      <c r="DC43" s="310"/>
      <c r="DD43" s="310"/>
      <c r="DE43" s="310"/>
      <c r="DF43" s="310"/>
      <c r="DG43" s="310"/>
      <c r="DH43" s="310"/>
      <c r="DI43" s="310"/>
      <c r="DJ43" s="310"/>
      <c r="DK43" s="310"/>
      <c r="DL43" s="310"/>
      <c r="DM43" s="310"/>
      <c r="DN43" s="310"/>
      <c r="DO43" s="310"/>
      <c r="DP43" s="310"/>
      <c r="DQ43" s="310"/>
      <c r="DR43" s="310"/>
      <c r="DS43" s="310"/>
      <c r="DT43" s="310"/>
      <c r="DU43" s="311"/>
      <c r="DV43" s="310"/>
      <c r="DW43" s="310"/>
      <c r="DX43" s="310"/>
      <c r="DY43" s="310"/>
      <c r="DZ43" s="310"/>
      <c r="EA43" s="310"/>
      <c r="EB43" s="310"/>
      <c r="EC43" s="310"/>
      <c r="ED43" s="310"/>
      <c r="EE43" s="310"/>
      <c r="EF43" s="310"/>
      <c r="EG43" s="310"/>
      <c r="EH43" s="310"/>
      <c r="EI43" s="310"/>
      <c r="EJ43" s="310"/>
      <c r="EK43" s="310"/>
      <c r="EL43" s="310"/>
      <c r="EM43" s="310"/>
      <c r="EN43" s="310"/>
      <c r="EO43" s="311"/>
      <c r="EP43" s="310"/>
      <c r="EQ43" s="310"/>
      <c r="ER43" s="310"/>
      <c r="ES43" s="310"/>
      <c r="ET43" s="310"/>
      <c r="EU43" s="310"/>
      <c r="EV43" s="310"/>
      <c r="EW43" s="310"/>
      <c r="EX43" s="310"/>
      <c r="EY43" s="310"/>
      <c r="EZ43" s="310"/>
      <c r="FA43" s="310"/>
      <c r="FB43" s="310"/>
      <c r="FC43" s="310"/>
      <c r="FD43" s="310"/>
      <c r="FE43" s="310"/>
      <c r="FF43" s="310"/>
      <c r="FG43" s="310"/>
      <c r="FH43" s="310"/>
      <c r="FI43" s="311"/>
      <c r="FJ43" s="310"/>
      <c r="FK43" s="310"/>
      <c r="FL43" s="310"/>
      <c r="FM43" s="310"/>
      <c r="FN43" s="310"/>
      <c r="FO43" s="310"/>
      <c r="FP43" s="310"/>
      <c r="FQ43" s="310"/>
      <c r="FR43" s="310"/>
      <c r="FS43" s="310"/>
      <c r="FT43" s="310"/>
      <c r="FU43" s="310"/>
      <c r="FV43" s="310"/>
      <c r="FW43" s="310"/>
      <c r="FX43" s="310"/>
      <c r="FY43" s="310"/>
      <c r="FZ43" s="310"/>
      <c r="GA43" s="310"/>
      <c r="GB43" s="310"/>
      <c r="GC43" s="311"/>
      <c r="GD43" s="310"/>
      <c r="GE43" s="310"/>
      <c r="GF43" s="310"/>
      <c r="GG43" s="310"/>
      <c r="GH43" s="310"/>
      <c r="GI43" s="310"/>
      <c r="GJ43" s="310"/>
      <c r="GK43" s="310"/>
      <c r="GL43" s="310"/>
      <c r="GM43" s="310"/>
      <c r="GN43" s="310"/>
      <c r="GO43" s="310"/>
      <c r="GP43" s="310"/>
      <c r="GQ43" s="310"/>
      <c r="GR43" s="310"/>
      <c r="GS43" s="310"/>
      <c r="GT43" s="310"/>
      <c r="GU43" s="310"/>
      <c r="GV43" s="310"/>
      <c r="GW43" s="311"/>
      <c r="GX43" s="310"/>
      <c r="GY43" s="310"/>
      <c r="GZ43" s="310"/>
      <c r="HA43" s="310"/>
      <c r="HB43" s="310"/>
      <c r="HC43" s="310"/>
      <c r="HD43" s="310"/>
      <c r="HE43" s="310"/>
      <c r="HF43" s="310"/>
      <c r="HG43" s="310"/>
      <c r="HH43" s="310"/>
      <c r="HI43" s="310"/>
      <c r="HJ43" s="310"/>
      <c r="HK43" s="310"/>
      <c r="HL43" s="310"/>
      <c r="HM43" s="310"/>
      <c r="HN43" s="310"/>
      <c r="HO43" s="310"/>
      <c r="HP43" s="310"/>
      <c r="HQ43" s="311"/>
      <c r="HR43" s="310"/>
      <c r="HS43" s="310"/>
      <c r="HT43" s="310"/>
      <c r="HU43" s="310"/>
      <c r="HV43" s="310"/>
      <c r="HW43" s="310"/>
      <c r="HX43" s="310"/>
      <c r="HY43" s="310"/>
      <c r="HZ43" s="310"/>
      <c r="IA43" s="310"/>
      <c r="IB43" s="310"/>
      <c r="IC43" s="310"/>
      <c r="ID43" s="310"/>
      <c r="IE43" s="310"/>
      <c r="IF43" s="310"/>
      <c r="IG43" s="310"/>
      <c r="IH43" s="310"/>
      <c r="II43" s="310"/>
      <c r="IJ43" s="310"/>
      <c r="IK43" s="311"/>
      <c r="IL43" s="310"/>
      <c r="IM43" s="310"/>
      <c r="IN43" s="310"/>
      <c r="IO43" s="310"/>
      <c r="IP43" s="310"/>
      <c r="IQ43" s="310"/>
      <c r="IR43" s="310"/>
      <c r="IS43" s="310"/>
      <c r="IT43" s="310"/>
      <c r="IU43" s="310"/>
      <c r="IV43" s="310"/>
      <c r="IW43" s="310"/>
      <c r="IX43" s="310"/>
      <c r="IY43" s="310"/>
      <c r="IZ43" s="310"/>
      <c r="JA43" s="310"/>
      <c r="JB43" s="310"/>
      <c r="JC43" s="310"/>
      <c r="JD43" s="310"/>
      <c r="JE43" s="311"/>
    </row>
    <row r="44" spans="2:265" x14ac:dyDescent="0.25">
      <c r="B44" s="102"/>
      <c r="C44" s="19" t="s">
        <v>199</v>
      </c>
      <c r="D44" s="19" t="s">
        <v>196</v>
      </c>
      <c r="E44" s="187" t="s">
        <v>197</v>
      </c>
      <c r="F44" s="312">
        <v>0.17095505000000003</v>
      </c>
      <c r="G44" s="313">
        <v>0.18121235300000002</v>
      </c>
      <c r="H44" s="313">
        <v>0.19208509418</v>
      </c>
      <c r="I44" s="313">
        <v>0.2036101998308</v>
      </c>
      <c r="J44" s="313">
        <v>0.215826811820648</v>
      </c>
      <c r="K44" s="313">
        <v>0.22877642052988686</v>
      </c>
      <c r="L44" s="313">
        <v>0.24250300576168007</v>
      </c>
      <c r="M44" s="313">
        <v>0.25705318610738093</v>
      </c>
      <c r="N44" s="313">
        <v>0.27247637727382373</v>
      </c>
      <c r="O44" s="313">
        <v>0.28882495991025314</v>
      </c>
      <c r="P44" s="313">
        <v>0.3061544575048683</v>
      </c>
      <c r="Q44" s="313">
        <v>0.32452372495516041</v>
      </c>
      <c r="R44" s="313">
        <v>0.34399514845247009</v>
      </c>
      <c r="S44" s="313">
        <v>0.36463485735961826</v>
      </c>
      <c r="T44" s="313">
        <v>0.38651294880119536</v>
      </c>
      <c r="U44" s="313">
        <v>0.40970372572926711</v>
      </c>
      <c r="V44" s="313">
        <v>0.43428594927302316</v>
      </c>
      <c r="W44" s="313">
        <v>0.4603431062294045</v>
      </c>
      <c r="X44" s="313">
        <v>0.48796369260316874</v>
      </c>
      <c r="Y44" s="314">
        <v>0.51724151415935904</v>
      </c>
      <c r="Z44" s="315"/>
      <c r="AA44" s="316"/>
      <c r="AB44" s="316"/>
      <c r="AC44" s="316"/>
      <c r="AD44" s="316"/>
      <c r="AE44" s="316"/>
      <c r="AF44" s="316"/>
      <c r="AG44" s="316"/>
      <c r="AH44" s="316"/>
      <c r="AI44" s="316"/>
      <c r="AJ44" s="316"/>
      <c r="AK44" s="316"/>
      <c r="AL44" s="316"/>
      <c r="AM44" s="316"/>
      <c r="AN44" s="316"/>
      <c r="AO44" s="316"/>
      <c r="AP44" s="316"/>
      <c r="AQ44" s="316"/>
      <c r="AR44" s="316"/>
      <c r="AS44" s="317"/>
      <c r="AT44" s="315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7"/>
      <c r="BN44" s="315"/>
      <c r="BO44" s="316"/>
      <c r="BP44" s="316"/>
      <c r="BQ44" s="316"/>
      <c r="BR44" s="316"/>
      <c r="BS44" s="316"/>
      <c r="BT44" s="316"/>
      <c r="BU44" s="316"/>
      <c r="BV44" s="316"/>
      <c r="BW44" s="316"/>
      <c r="BX44" s="316"/>
      <c r="BY44" s="316"/>
      <c r="BZ44" s="316"/>
      <c r="CA44" s="316"/>
      <c r="CB44" s="316"/>
      <c r="CC44" s="316"/>
      <c r="CD44" s="316"/>
      <c r="CE44" s="316"/>
      <c r="CF44" s="316"/>
      <c r="CG44" s="317"/>
      <c r="CH44" s="315"/>
      <c r="CI44" s="316"/>
      <c r="CJ44" s="316"/>
      <c r="CK44" s="316"/>
      <c r="CL44" s="316"/>
      <c r="CM44" s="316"/>
      <c r="CN44" s="316"/>
      <c r="CO44" s="316"/>
      <c r="CP44" s="316"/>
      <c r="CQ44" s="316"/>
      <c r="CR44" s="316"/>
      <c r="CS44" s="316"/>
      <c r="CT44" s="316"/>
      <c r="CU44" s="316"/>
      <c r="CV44" s="316"/>
      <c r="CW44" s="316"/>
      <c r="CX44" s="316"/>
      <c r="CY44" s="316"/>
      <c r="CZ44" s="316"/>
      <c r="DA44" s="317"/>
      <c r="DB44" s="315"/>
      <c r="DC44" s="316"/>
      <c r="DD44" s="316"/>
      <c r="DE44" s="316"/>
      <c r="DF44" s="316"/>
      <c r="DG44" s="316"/>
      <c r="DH44" s="316"/>
      <c r="DI44" s="316"/>
      <c r="DJ44" s="316"/>
      <c r="DK44" s="316"/>
      <c r="DL44" s="316"/>
      <c r="DM44" s="316"/>
      <c r="DN44" s="316"/>
      <c r="DO44" s="316"/>
      <c r="DP44" s="316"/>
      <c r="DQ44" s="316"/>
      <c r="DR44" s="316"/>
      <c r="DS44" s="316"/>
      <c r="DT44" s="316"/>
      <c r="DU44" s="317"/>
      <c r="DV44" s="315"/>
      <c r="DW44" s="316"/>
      <c r="DX44" s="316"/>
      <c r="DY44" s="316"/>
      <c r="DZ44" s="316"/>
      <c r="EA44" s="316"/>
      <c r="EB44" s="316"/>
      <c r="EC44" s="316"/>
      <c r="ED44" s="316"/>
      <c r="EE44" s="316"/>
      <c r="EF44" s="316"/>
      <c r="EG44" s="316"/>
      <c r="EH44" s="316"/>
      <c r="EI44" s="316"/>
      <c r="EJ44" s="316"/>
      <c r="EK44" s="316"/>
      <c r="EL44" s="316"/>
      <c r="EM44" s="316"/>
      <c r="EN44" s="316"/>
      <c r="EO44" s="317"/>
      <c r="EP44" s="315"/>
      <c r="EQ44" s="316"/>
      <c r="ER44" s="316"/>
      <c r="ES44" s="316"/>
      <c r="ET44" s="316"/>
      <c r="EU44" s="316"/>
      <c r="EV44" s="316"/>
      <c r="EW44" s="316"/>
      <c r="EX44" s="316"/>
      <c r="EY44" s="316"/>
      <c r="EZ44" s="316"/>
      <c r="FA44" s="316"/>
      <c r="FB44" s="316"/>
      <c r="FC44" s="316"/>
      <c r="FD44" s="316"/>
      <c r="FE44" s="316"/>
      <c r="FF44" s="316"/>
      <c r="FG44" s="316"/>
      <c r="FH44" s="316"/>
      <c r="FI44" s="317"/>
      <c r="FJ44" s="315"/>
      <c r="FK44" s="316"/>
      <c r="FL44" s="316"/>
      <c r="FM44" s="316"/>
      <c r="FN44" s="316"/>
      <c r="FO44" s="316"/>
      <c r="FP44" s="316"/>
      <c r="FQ44" s="316"/>
      <c r="FR44" s="316"/>
      <c r="FS44" s="316"/>
      <c r="FT44" s="316"/>
      <c r="FU44" s="316"/>
      <c r="FV44" s="316"/>
      <c r="FW44" s="316"/>
      <c r="FX44" s="316"/>
      <c r="FY44" s="316"/>
      <c r="FZ44" s="316"/>
      <c r="GA44" s="316"/>
      <c r="GB44" s="316"/>
      <c r="GC44" s="317"/>
      <c r="GD44" s="315"/>
      <c r="GE44" s="316"/>
      <c r="GF44" s="316"/>
      <c r="GG44" s="316"/>
      <c r="GH44" s="316"/>
      <c r="GI44" s="316"/>
      <c r="GJ44" s="316"/>
      <c r="GK44" s="316"/>
      <c r="GL44" s="316"/>
      <c r="GM44" s="316"/>
      <c r="GN44" s="316"/>
      <c r="GO44" s="316"/>
      <c r="GP44" s="316"/>
      <c r="GQ44" s="316"/>
      <c r="GR44" s="316"/>
      <c r="GS44" s="316"/>
      <c r="GT44" s="316"/>
      <c r="GU44" s="316"/>
      <c r="GV44" s="316"/>
      <c r="GW44" s="317"/>
      <c r="GX44" s="315"/>
      <c r="GY44" s="316"/>
      <c r="GZ44" s="316"/>
      <c r="HA44" s="316"/>
      <c r="HB44" s="316"/>
      <c r="HC44" s="316"/>
      <c r="HD44" s="316"/>
      <c r="HE44" s="316"/>
      <c r="HF44" s="316"/>
      <c r="HG44" s="316"/>
      <c r="HH44" s="316"/>
      <c r="HI44" s="316"/>
      <c r="HJ44" s="316"/>
      <c r="HK44" s="316"/>
      <c r="HL44" s="316"/>
      <c r="HM44" s="316"/>
      <c r="HN44" s="316"/>
      <c r="HO44" s="316"/>
      <c r="HP44" s="316"/>
      <c r="HQ44" s="317"/>
      <c r="HR44" s="315"/>
      <c r="HS44" s="316"/>
      <c r="HT44" s="316"/>
      <c r="HU44" s="316"/>
      <c r="HV44" s="316"/>
      <c r="HW44" s="316"/>
      <c r="HX44" s="316"/>
      <c r="HY44" s="316"/>
      <c r="HZ44" s="316"/>
      <c r="IA44" s="316"/>
      <c r="IB44" s="316"/>
      <c r="IC44" s="316"/>
      <c r="ID44" s="316"/>
      <c r="IE44" s="316"/>
      <c r="IF44" s="316"/>
      <c r="IG44" s="316"/>
      <c r="IH44" s="316"/>
      <c r="II44" s="316"/>
      <c r="IJ44" s="316"/>
      <c r="IK44" s="317"/>
      <c r="IL44" s="315"/>
      <c r="IM44" s="316"/>
      <c r="IN44" s="316"/>
      <c r="IO44" s="316"/>
      <c r="IP44" s="316"/>
      <c r="IQ44" s="316"/>
      <c r="IR44" s="316"/>
      <c r="IS44" s="316"/>
      <c r="IT44" s="316"/>
      <c r="IU44" s="316"/>
      <c r="IV44" s="316"/>
      <c r="IW44" s="316"/>
      <c r="IX44" s="316"/>
      <c r="IY44" s="316"/>
      <c r="IZ44" s="316"/>
      <c r="JA44" s="316"/>
      <c r="JB44" s="316"/>
      <c r="JC44" s="316"/>
      <c r="JD44" s="316"/>
      <c r="JE44" s="317"/>
    </row>
    <row r="45" spans="2:265" x14ac:dyDescent="0.25">
      <c r="B45" s="102"/>
      <c r="C45" s="19" t="s">
        <v>290</v>
      </c>
      <c r="D45" s="187" t="s">
        <v>296</v>
      </c>
      <c r="E45" s="187" t="s">
        <v>58</v>
      </c>
      <c r="F45" s="150"/>
      <c r="G45" s="148"/>
      <c r="H45" s="148"/>
      <c r="I45" s="148"/>
      <c r="J45" s="148"/>
      <c r="K45" s="148"/>
      <c r="L45" s="148"/>
      <c r="M45" s="148"/>
      <c r="N45" s="148"/>
      <c r="O45" s="148" t="s">
        <v>515</v>
      </c>
      <c r="P45" s="148"/>
      <c r="Q45" s="148"/>
      <c r="R45" s="148"/>
      <c r="S45" s="148" t="s">
        <v>517</v>
      </c>
      <c r="T45" s="148"/>
      <c r="U45" s="148"/>
      <c r="V45" s="148"/>
      <c r="W45" s="148" t="s">
        <v>509</v>
      </c>
      <c r="X45" s="148"/>
      <c r="Y45" s="149"/>
      <c r="Z45" s="150" t="s">
        <v>515</v>
      </c>
      <c r="AA45" s="148"/>
      <c r="AB45" s="148"/>
      <c r="AC45" s="148"/>
      <c r="AD45" s="148" t="s">
        <v>517</v>
      </c>
      <c r="AE45" s="148"/>
      <c r="AF45" s="148"/>
      <c r="AG45" s="148"/>
      <c r="AH45" s="148" t="s">
        <v>509</v>
      </c>
      <c r="AI45" s="148" t="s">
        <v>515</v>
      </c>
      <c r="AJ45" s="148"/>
      <c r="AK45" s="148"/>
      <c r="AL45" s="148" t="s">
        <v>517</v>
      </c>
      <c r="AM45" s="148" t="s">
        <v>517</v>
      </c>
      <c r="AN45" s="148"/>
      <c r="AO45" s="148"/>
      <c r="AP45" s="148" t="s">
        <v>509</v>
      </c>
      <c r="AQ45" s="148" t="s">
        <v>509</v>
      </c>
      <c r="AR45" s="148"/>
      <c r="AS45" s="149"/>
      <c r="AT45" s="150"/>
      <c r="AU45" s="148" t="s">
        <v>515</v>
      </c>
      <c r="AV45" s="148"/>
      <c r="AW45" s="148"/>
      <c r="AX45" s="148"/>
      <c r="AY45" s="148" t="s">
        <v>517</v>
      </c>
      <c r="AZ45" s="148"/>
      <c r="BA45" s="148"/>
      <c r="BB45" s="148"/>
      <c r="BC45" s="148" t="s">
        <v>509</v>
      </c>
      <c r="BD45" s="148"/>
      <c r="BE45" s="148"/>
      <c r="BF45" s="148"/>
      <c r="BG45" s="148" t="s">
        <v>517</v>
      </c>
      <c r="BH45" s="148"/>
      <c r="BI45" s="148"/>
      <c r="BJ45" s="148"/>
      <c r="BK45" s="148" t="s">
        <v>509</v>
      </c>
      <c r="BL45" s="148"/>
      <c r="BM45" s="149"/>
      <c r="BN45" s="150"/>
      <c r="BO45" s="148"/>
      <c r="BP45" s="148" t="s">
        <v>515</v>
      </c>
      <c r="BQ45" s="148"/>
      <c r="BR45" s="148"/>
      <c r="BS45" s="148"/>
      <c r="BT45" s="148" t="s">
        <v>517</v>
      </c>
      <c r="BU45" s="148"/>
      <c r="BV45" s="148"/>
      <c r="BW45" s="148"/>
      <c r="BX45" s="148" t="s">
        <v>509</v>
      </c>
      <c r="BY45" s="148"/>
      <c r="BZ45" s="148"/>
      <c r="CA45" s="148"/>
      <c r="CB45" s="148" t="s">
        <v>517</v>
      </c>
      <c r="CC45" s="148"/>
      <c r="CD45" s="148"/>
      <c r="CE45" s="148"/>
      <c r="CF45" s="148" t="s">
        <v>509</v>
      </c>
      <c r="CG45" s="149"/>
      <c r="CH45" s="150"/>
      <c r="CI45" s="148"/>
      <c r="CJ45" s="148"/>
      <c r="CK45" s="148" t="s">
        <v>515</v>
      </c>
      <c r="CL45" s="148"/>
      <c r="CM45" s="148"/>
      <c r="CN45" s="148"/>
      <c r="CO45" s="148" t="s">
        <v>517</v>
      </c>
      <c r="CP45" s="148"/>
      <c r="CQ45" s="148"/>
      <c r="CR45" s="148"/>
      <c r="CS45" s="148" t="s">
        <v>509</v>
      </c>
      <c r="CT45" s="148"/>
      <c r="CU45" s="148"/>
      <c r="CV45" s="148"/>
      <c r="CW45" s="148" t="s">
        <v>517</v>
      </c>
      <c r="CX45" s="148"/>
      <c r="CY45" s="148"/>
      <c r="CZ45" s="148"/>
      <c r="DA45" s="149" t="s">
        <v>509</v>
      </c>
      <c r="DB45" s="150"/>
      <c r="DC45" s="148"/>
      <c r="DD45" s="148"/>
      <c r="DE45" s="148"/>
      <c r="DF45" s="148" t="s">
        <v>515</v>
      </c>
      <c r="DG45" s="148"/>
      <c r="DH45" s="148"/>
      <c r="DI45" s="148"/>
      <c r="DJ45" s="148" t="s">
        <v>517</v>
      </c>
      <c r="DK45" s="148"/>
      <c r="DL45" s="148"/>
      <c r="DM45" s="148"/>
      <c r="DN45" s="148" t="s">
        <v>509</v>
      </c>
      <c r="DO45" s="148"/>
      <c r="DP45" s="148"/>
      <c r="DQ45" s="148"/>
      <c r="DR45" s="148" t="s">
        <v>517</v>
      </c>
      <c r="DS45" s="148"/>
      <c r="DT45" s="148"/>
      <c r="DU45" s="149"/>
      <c r="DV45" s="150"/>
      <c r="DW45" s="148"/>
      <c r="DX45" s="148"/>
      <c r="DY45" s="148"/>
      <c r="DZ45" s="148"/>
      <c r="EA45" s="148" t="s">
        <v>515</v>
      </c>
      <c r="EB45" s="148"/>
      <c r="EC45" s="148"/>
      <c r="ED45" s="148"/>
      <c r="EE45" s="148" t="s">
        <v>517</v>
      </c>
      <c r="EF45" s="148"/>
      <c r="EG45" s="148"/>
      <c r="EH45" s="148"/>
      <c r="EI45" s="148" t="s">
        <v>509</v>
      </c>
      <c r="EJ45" s="148"/>
      <c r="EK45" s="148"/>
      <c r="EL45" s="148"/>
      <c r="EM45" s="148" t="s">
        <v>517</v>
      </c>
      <c r="EN45" s="148"/>
      <c r="EO45" s="149"/>
      <c r="EP45" s="150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9"/>
      <c r="FJ45" s="150"/>
      <c r="FK45" s="148"/>
      <c r="FL45" s="148"/>
      <c r="FM45" s="148"/>
      <c r="FN45" s="148"/>
      <c r="FO45" s="148"/>
      <c r="FP45" s="148"/>
      <c r="FQ45" s="148"/>
      <c r="FR45" s="148"/>
      <c r="FS45" s="148"/>
      <c r="FT45" s="148"/>
      <c r="FU45" s="148"/>
      <c r="FV45" s="148"/>
      <c r="FW45" s="148"/>
      <c r="FX45" s="148"/>
      <c r="FY45" s="148"/>
      <c r="FZ45" s="148"/>
      <c r="GA45" s="148"/>
      <c r="GB45" s="148"/>
      <c r="GC45" s="149"/>
      <c r="GD45" s="150"/>
      <c r="GE45" s="148"/>
      <c r="GF45" s="148"/>
      <c r="GG45" s="148"/>
      <c r="GH45" s="148"/>
      <c r="GI45" s="148"/>
      <c r="GJ45" s="148"/>
      <c r="GK45" s="148"/>
      <c r="GL45" s="148"/>
      <c r="GM45" s="148"/>
      <c r="GN45" s="148"/>
      <c r="GO45" s="148"/>
      <c r="GP45" s="148"/>
      <c r="GQ45" s="148"/>
      <c r="GR45" s="148"/>
      <c r="GS45" s="148"/>
      <c r="GT45" s="148"/>
      <c r="GU45" s="148"/>
      <c r="GV45" s="148"/>
      <c r="GW45" s="149"/>
      <c r="GX45" s="150"/>
      <c r="GY45" s="148"/>
      <c r="GZ45" s="148"/>
      <c r="HA45" s="148"/>
      <c r="HB45" s="148"/>
      <c r="HC45" s="148"/>
      <c r="HD45" s="148"/>
      <c r="HE45" s="148"/>
      <c r="HF45" s="148"/>
      <c r="HG45" s="148"/>
      <c r="HH45" s="148"/>
      <c r="HI45" s="148"/>
      <c r="HJ45" s="148"/>
      <c r="HK45" s="148"/>
      <c r="HL45" s="148"/>
      <c r="HM45" s="148"/>
      <c r="HN45" s="148"/>
      <c r="HO45" s="148"/>
      <c r="HP45" s="148"/>
      <c r="HQ45" s="149"/>
      <c r="HR45" s="150"/>
      <c r="HS45" s="148"/>
      <c r="HT45" s="148"/>
      <c r="HU45" s="148"/>
      <c r="HV45" s="148"/>
      <c r="HW45" s="148"/>
      <c r="HX45" s="148"/>
      <c r="HY45" s="148"/>
      <c r="HZ45" s="148"/>
      <c r="IA45" s="148"/>
      <c r="IB45" s="148"/>
      <c r="IC45" s="148"/>
      <c r="ID45" s="148"/>
      <c r="IE45" s="148"/>
      <c r="IF45" s="148"/>
      <c r="IG45" s="148"/>
      <c r="IH45" s="148"/>
      <c r="II45" s="148"/>
      <c r="IJ45" s="148"/>
      <c r="IK45" s="149"/>
      <c r="IL45" s="150"/>
      <c r="IM45" s="148"/>
      <c r="IN45" s="148"/>
      <c r="IO45" s="148"/>
      <c r="IP45" s="148"/>
      <c r="IQ45" s="148"/>
      <c r="IR45" s="148"/>
      <c r="IS45" s="148"/>
      <c r="IT45" s="148"/>
      <c r="IU45" s="148"/>
      <c r="IV45" s="148"/>
      <c r="IW45" s="148"/>
      <c r="IX45" s="148"/>
      <c r="IY45" s="148"/>
      <c r="IZ45" s="148"/>
      <c r="JA45" s="148"/>
      <c r="JB45" s="148"/>
      <c r="JC45" s="148"/>
      <c r="JD45" s="148"/>
      <c r="JE45" s="149"/>
    </row>
    <row r="46" spans="2:265" x14ac:dyDescent="0.25">
      <c r="B46" s="102"/>
      <c r="C46" s="40" t="s">
        <v>6</v>
      </c>
      <c r="D46" s="102" t="s">
        <v>12</v>
      </c>
      <c r="E46" s="102" t="s">
        <v>66</v>
      </c>
      <c r="F46" s="318">
        <v>12</v>
      </c>
      <c r="G46" s="319">
        <v>12.3</v>
      </c>
      <c r="H46" s="319">
        <v>12.6075</v>
      </c>
      <c r="I46" s="319">
        <v>12.9226875</v>
      </c>
      <c r="J46" s="319">
        <v>13.2457546875</v>
      </c>
      <c r="K46" s="319">
        <v>13.576898554687499</v>
      </c>
      <c r="L46" s="319">
        <v>13.916321018554687</v>
      </c>
      <c r="M46" s="319">
        <v>14.264229044018554</v>
      </c>
      <c r="N46" s="319">
        <v>14.620834770119018</v>
      </c>
      <c r="O46" s="319">
        <v>2</v>
      </c>
      <c r="P46" s="319">
        <v>2.0499999999999998</v>
      </c>
      <c r="Q46" s="319">
        <v>2.1012499999999998</v>
      </c>
      <c r="R46" s="319">
        <v>2.1537812499999998</v>
      </c>
      <c r="S46" s="319">
        <v>2.20762578125</v>
      </c>
      <c r="T46" s="319">
        <v>2.2628164257812502</v>
      </c>
      <c r="U46" s="319">
        <v>2.3193868364257813</v>
      </c>
      <c r="V46" s="319">
        <v>2.3773715073364259</v>
      </c>
      <c r="W46" s="319">
        <v>2.5</v>
      </c>
      <c r="X46" s="319">
        <v>2.5625</v>
      </c>
      <c r="Y46" s="320">
        <v>2.6265624999999999</v>
      </c>
      <c r="Z46" s="318">
        <v>2</v>
      </c>
      <c r="AA46" s="319">
        <v>2.0499999999999998</v>
      </c>
      <c r="AB46" s="319">
        <v>2.1012499999999998</v>
      </c>
      <c r="AC46" s="319">
        <v>2.1537812499999998</v>
      </c>
      <c r="AD46" s="319">
        <v>2.20762578125</v>
      </c>
      <c r="AE46" s="319">
        <v>2.2628164257812502</v>
      </c>
      <c r="AF46" s="319">
        <v>2.3193868364257813</v>
      </c>
      <c r="AG46" s="319">
        <v>2.3773715073364259</v>
      </c>
      <c r="AH46" s="319">
        <v>2.5</v>
      </c>
      <c r="AI46" s="319">
        <v>2.5625</v>
      </c>
      <c r="AJ46" s="319">
        <v>2.6265624999999999</v>
      </c>
      <c r="AK46" s="319">
        <v>2.6922265624999997</v>
      </c>
      <c r="AL46" s="319">
        <v>2.7595322265624995</v>
      </c>
      <c r="AM46" s="319">
        <v>2.8285205322265621</v>
      </c>
      <c r="AN46" s="319">
        <v>2.8992335455322262</v>
      </c>
      <c r="AO46" s="319">
        <v>2.9717143841705318</v>
      </c>
      <c r="AP46" s="319">
        <v>2.5</v>
      </c>
      <c r="AQ46" s="319">
        <v>2.5625</v>
      </c>
      <c r="AR46" s="319">
        <v>2.6265624999999999</v>
      </c>
      <c r="AS46" s="320">
        <v>2.6922265624999997</v>
      </c>
      <c r="AT46" s="318">
        <v>12</v>
      </c>
      <c r="AU46" s="319">
        <v>2</v>
      </c>
      <c r="AV46" s="319">
        <v>2.0499999999999998</v>
      </c>
      <c r="AW46" s="319">
        <v>2.1012499999999998</v>
      </c>
      <c r="AX46" s="319">
        <v>2.1537812499999998</v>
      </c>
      <c r="AY46" s="319">
        <v>2.20762578125</v>
      </c>
      <c r="AZ46" s="319">
        <v>2.2628164257812502</v>
      </c>
      <c r="BA46" s="319">
        <v>2.3193868364257813</v>
      </c>
      <c r="BB46" s="319">
        <v>2.3773715073364259</v>
      </c>
      <c r="BC46" s="319">
        <v>2.5</v>
      </c>
      <c r="BD46" s="319">
        <v>2.5625</v>
      </c>
      <c r="BE46" s="319">
        <v>2.6265624999999999</v>
      </c>
      <c r="BF46" s="319">
        <v>2.6922265624999997</v>
      </c>
      <c r="BG46" s="319">
        <v>2.7595322265624995</v>
      </c>
      <c r="BH46" s="319">
        <v>2.8285205322265621</v>
      </c>
      <c r="BI46" s="319">
        <v>2.8992335455322262</v>
      </c>
      <c r="BJ46" s="319">
        <v>2.9717143841705318</v>
      </c>
      <c r="BK46" s="319">
        <v>2.5</v>
      </c>
      <c r="BL46" s="319">
        <v>2.5625</v>
      </c>
      <c r="BM46" s="320">
        <v>2.6265624999999999</v>
      </c>
      <c r="BN46" s="318">
        <v>12</v>
      </c>
      <c r="BO46" s="319">
        <v>12.3</v>
      </c>
      <c r="BP46" s="319">
        <v>2</v>
      </c>
      <c r="BQ46" s="319">
        <v>2.0499999999999998</v>
      </c>
      <c r="BR46" s="319">
        <v>2.1012499999999998</v>
      </c>
      <c r="BS46" s="319">
        <v>2.1537812499999998</v>
      </c>
      <c r="BT46" s="319">
        <v>2.20762578125</v>
      </c>
      <c r="BU46" s="319">
        <v>2.2628164257812502</v>
      </c>
      <c r="BV46" s="319">
        <v>2.3193868364257813</v>
      </c>
      <c r="BW46" s="319">
        <v>2.3773715073364259</v>
      </c>
      <c r="BX46" s="319">
        <v>2.5</v>
      </c>
      <c r="BY46" s="319">
        <v>2.5625</v>
      </c>
      <c r="BZ46" s="319">
        <v>2.6265624999999999</v>
      </c>
      <c r="CA46" s="319">
        <v>2.6922265624999997</v>
      </c>
      <c r="CB46" s="319">
        <v>2.7595322265624995</v>
      </c>
      <c r="CC46" s="319">
        <v>2.8285205322265621</v>
      </c>
      <c r="CD46" s="319">
        <v>2.8992335455322262</v>
      </c>
      <c r="CE46" s="319">
        <v>2.9717143841705318</v>
      </c>
      <c r="CF46" s="319">
        <v>2.5</v>
      </c>
      <c r="CG46" s="320">
        <v>2.5625</v>
      </c>
      <c r="CH46" s="318">
        <v>12</v>
      </c>
      <c r="CI46" s="319">
        <v>12.3</v>
      </c>
      <c r="CJ46" s="319">
        <v>12.6075</v>
      </c>
      <c r="CK46" s="319">
        <v>2</v>
      </c>
      <c r="CL46" s="319">
        <v>2.0499999999999998</v>
      </c>
      <c r="CM46" s="319">
        <v>2.1012499999999998</v>
      </c>
      <c r="CN46" s="319">
        <v>2.1537812499999998</v>
      </c>
      <c r="CO46" s="319">
        <v>2.20762578125</v>
      </c>
      <c r="CP46" s="319">
        <v>2.2628164257812502</v>
      </c>
      <c r="CQ46" s="319">
        <v>2.3193868364257813</v>
      </c>
      <c r="CR46" s="319">
        <v>2.3773715073364259</v>
      </c>
      <c r="CS46" s="319">
        <v>2.5</v>
      </c>
      <c r="CT46" s="319">
        <v>2.5625</v>
      </c>
      <c r="CU46" s="319">
        <v>2.6265624999999999</v>
      </c>
      <c r="CV46" s="319">
        <v>2.6922265624999997</v>
      </c>
      <c r="CW46" s="319">
        <v>2.7595322265624995</v>
      </c>
      <c r="CX46" s="319">
        <v>2.8285205322265621</v>
      </c>
      <c r="CY46" s="319">
        <v>2.8992335455322262</v>
      </c>
      <c r="CZ46" s="319">
        <v>2.9717143841705318</v>
      </c>
      <c r="DA46" s="320">
        <v>2.5</v>
      </c>
      <c r="DB46" s="318">
        <v>12</v>
      </c>
      <c r="DC46" s="319">
        <v>12.3</v>
      </c>
      <c r="DD46" s="319">
        <v>12.6075</v>
      </c>
      <c r="DE46" s="319">
        <v>12.9226875</v>
      </c>
      <c r="DF46" s="319">
        <v>2</v>
      </c>
      <c r="DG46" s="319">
        <v>2.0499999999999998</v>
      </c>
      <c r="DH46" s="319">
        <v>2.1012499999999998</v>
      </c>
      <c r="DI46" s="319">
        <v>2.1537812499999998</v>
      </c>
      <c r="DJ46" s="319">
        <v>2.20762578125</v>
      </c>
      <c r="DK46" s="319">
        <v>2.2628164257812502</v>
      </c>
      <c r="DL46" s="319">
        <v>2.3193868364257813</v>
      </c>
      <c r="DM46" s="319">
        <v>2.3773715073364259</v>
      </c>
      <c r="DN46" s="319">
        <v>2.5</v>
      </c>
      <c r="DO46" s="319">
        <v>2.5625</v>
      </c>
      <c r="DP46" s="319">
        <v>2.6265624999999999</v>
      </c>
      <c r="DQ46" s="319">
        <v>2.6922265624999997</v>
      </c>
      <c r="DR46" s="319">
        <v>2.7595322265624995</v>
      </c>
      <c r="DS46" s="319">
        <v>2.8285205322265621</v>
      </c>
      <c r="DT46" s="319">
        <v>2.8992335455322262</v>
      </c>
      <c r="DU46" s="320">
        <v>2.9717143841705318</v>
      </c>
      <c r="DV46" s="318">
        <v>12</v>
      </c>
      <c r="DW46" s="319">
        <v>12.3</v>
      </c>
      <c r="DX46" s="319">
        <v>12.6075</v>
      </c>
      <c r="DY46" s="319">
        <v>12.9226875</v>
      </c>
      <c r="DZ46" s="319">
        <v>13.2457546875</v>
      </c>
      <c r="EA46" s="319">
        <v>2</v>
      </c>
      <c r="EB46" s="319">
        <v>2.0499999999999998</v>
      </c>
      <c r="EC46" s="319">
        <v>2.1012499999999998</v>
      </c>
      <c r="ED46" s="319">
        <v>2.1537812499999998</v>
      </c>
      <c r="EE46" s="319">
        <v>2.20762578125</v>
      </c>
      <c r="EF46" s="319">
        <v>2.2628164257812502</v>
      </c>
      <c r="EG46" s="319">
        <v>2.3193868364257813</v>
      </c>
      <c r="EH46" s="319">
        <v>2.3773715073364259</v>
      </c>
      <c r="EI46" s="319">
        <v>2.5</v>
      </c>
      <c r="EJ46" s="319">
        <v>2.5625</v>
      </c>
      <c r="EK46" s="319">
        <v>2.6265624999999999</v>
      </c>
      <c r="EL46" s="319">
        <v>2.6922265624999997</v>
      </c>
      <c r="EM46" s="319">
        <v>2.7595322265624995</v>
      </c>
      <c r="EN46" s="319">
        <v>2.8285205322265621</v>
      </c>
      <c r="EO46" s="320">
        <v>2.8992335455322262</v>
      </c>
      <c r="EP46" s="318"/>
      <c r="EQ46" s="319"/>
      <c r="ER46" s="319"/>
      <c r="ES46" s="319"/>
      <c r="ET46" s="319"/>
      <c r="EU46" s="319"/>
      <c r="EV46" s="319"/>
      <c r="EW46" s="319"/>
      <c r="EX46" s="319"/>
      <c r="EY46" s="319"/>
      <c r="EZ46" s="319"/>
      <c r="FA46" s="319"/>
      <c r="FB46" s="319"/>
      <c r="FC46" s="319"/>
      <c r="FD46" s="319"/>
      <c r="FE46" s="319"/>
      <c r="FF46" s="319"/>
      <c r="FG46" s="319"/>
      <c r="FH46" s="319"/>
      <c r="FI46" s="320"/>
      <c r="FJ46" s="318"/>
      <c r="FK46" s="319"/>
      <c r="FL46" s="319"/>
      <c r="FM46" s="319"/>
      <c r="FN46" s="319"/>
      <c r="FO46" s="319"/>
      <c r="FP46" s="319"/>
      <c r="FQ46" s="319"/>
      <c r="FR46" s="319"/>
      <c r="FS46" s="319"/>
      <c r="FT46" s="319"/>
      <c r="FU46" s="319"/>
      <c r="FV46" s="319"/>
      <c r="FW46" s="319"/>
      <c r="FX46" s="319"/>
      <c r="FY46" s="319"/>
      <c r="FZ46" s="319"/>
      <c r="GA46" s="319"/>
      <c r="GB46" s="319"/>
      <c r="GC46" s="320"/>
      <c r="GD46" s="318"/>
      <c r="GE46" s="319"/>
      <c r="GF46" s="319"/>
      <c r="GG46" s="319"/>
      <c r="GH46" s="319"/>
      <c r="GI46" s="319"/>
      <c r="GJ46" s="319"/>
      <c r="GK46" s="319"/>
      <c r="GL46" s="319"/>
      <c r="GM46" s="319"/>
      <c r="GN46" s="319"/>
      <c r="GO46" s="319"/>
      <c r="GP46" s="319"/>
      <c r="GQ46" s="319"/>
      <c r="GR46" s="319"/>
      <c r="GS46" s="319"/>
      <c r="GT46" s="319"/>
      <c r="GU46" s="319"/>
      <c r="GV46" s="319"/>
      <c r="GW46" s="320"/>
      <c r="GX46" s="318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J46" s="319"/>
      <c r="HK46" s="319"/>
      <c r="HL46" s="319"/>
      <c r="HM46" s="319"/>
      <c r="HN46" s="319"/>
      <c r="HO46" s="319"/>
      <c r="HP46" s="319"/>
      <c r="HQ46" s="320"/>
      <c r="HR46" s="318"/>
      <c r="HS46" s="319"/>
      <c r="HT46" s="319"/>
      <c r="HU46" s="319"/>
      <c r="HV46" s="319"/>
      <c r="HW46" s="319"/>
      <c r="HX46" s="319"/>
      <c r="HY46" s="319"/>
      <c r="HZ46" s="319"/>
      <c r="IA46" s="319"/>
      <c r="IB46" s="319"/>
      <c r="IC46" s="319"/>
      <c r="ID46" s="319"/>
      <c r="IE46" s="319"/>
      <c r="IF46" s="319"/>
      <c r="IG46" s="319"/>
      <c r="IH46" s="319"/>
      <c r="II46" s="319"/>
      <c r="IJ46" s="319"/>
      <c r="IK46" s="320"/>
      <c r="IL46" s="318"/>
      <c r="IM46" s="319"/>
      <c r="IN46" s="319"/>
      <c r="IO46" s="319"/>
      <c r="IP46" s="319"/>
      <c r="IQ46" s="319"/>
      <c r="IR46" s="319"/>
      <c r="IS46" s="319"/>
      <c r="IT46" s="319"/>
      <c r="IU46" s="319"/>
      <c r="IV46" s="319"/>
      <c r="IW46" s="319"/>
      <c r="IX46" s="319"/>
      <c r="IY46" s="319"/>
      <c r="IZ46" s="319"/>
      <c r="JA46" s="319"/>
      <c r="JB46" s="319"/>
      <c r="JC46" s="319"/>
      <c r="JD46" s="319"/>
      <c r="JE46" s="320"/>
    </row>
    <row r="47" spans="2:265" x14ac:dyDescent="0.25">
      <c r="B47" s="102"/>
      <c r="C47" s="40"/>
      <c r="D47" s="102" t="s">
        <v>200</v>
      </c>
      <c r="E47" s="102" t="s">
        <v>38</v>
      </c>
      <c r="F47" s="318">
        <v>4</v>
      </c>
      <c r="G47" s="319">
        <v>4</v>
      </c>
      <c r="H47" s="319">
        <v>4</v>
      </c>
      <c r="I47" s="319">
        <v>4</v>
      </c>
      <c r="J47" s="319">
        <v>4</v>
      </c>
      <c r="K47" s="319">
        <v>4</v>
      </c>
      <c r="L47" s="319">
        <v>4</v>
      </c>
      <c r="M47" s="319">
        <v>4</v>
      </c>
      <c r="N47" s="319">
        <v>4</v>
      </c>
      <c r="O47" s="319">
        <v>5</v>
      </c>
      <c r="P47" s="319">
        <v>5</v>
      </c>
      <c r="Q47" s="319">
        <v>5</v>
      </c>
      <c r="R47" s="319">
        <v>5</v>
      </c>
      <c r="S47" s="319">
        <v>5</v>
      </c>
      <c r="T47" s="319">
        <v>5</v>
      </c>
      <c r="U47" s="319">
        <v>5</v>
      </c>
      <c r="V47" s="319">
        <v>5</v>
      </c>
      <c r="W47" s="319">
        <v>5</v>
      </c>
      <c r="X47" s="319">
        <v>5</v>
      </c>
      <c r="Y47" s="320">
        <v>5</v>
      </c>
      <c r="Z47" s="318">
        <v>5</v>
      </c>
      <c r="AA47" s="319">
        <v>5</v>
      </c>
      <c r="AB47" s="319">
        <v>5</v>
      </c>
      <c r="AC47" s="319">
        <v>5</v>
      </c>
      <c r="AD47" s="319">
        <v>5</v>
      </c>
      <c r="AE47" s="319">
        <v>5</v>
      </c>
      <c r="AF47" s="319">
        <v>5</v>
      </c>
      <c r="AG47" s="319">
        <v>5</v>
      </c>
      <c r="AH47" s="319">
        <v>5</v>
      </c>
      <c r="AI47" s="319">
        <v>5</v>
      </c>
      <c r="AJ47" s="319">
        <v>5</v>
      </c>
      <c r="AK47" s="319">
        <v>5</v>
      </c>
      <c r="AL47" s="319">
        <v>5</v>
      </c>
      <c r="AM47" s="319">
        <v>5</v>
      </c>
      <c r="AN47" s="319">
        <v>5</v>
      </c>
      <c r="AO47" s="319">
        <v>5</v>
      </c>
      <c r="AP47" s="319">
        <v>5</v>
      </c>
      <c r="AQ47" s="319">
        <v>5</v>
      </c>
      <c r="AR47" s="319">
        <v>5</v>
      </c>
      <c r="AS47" s="320">
        <v>5</v>
      </c>
      <c r="AT47" s="318">
        <v>4</v>
      </c>
      <c r="AU47" s="319">
        <v>5</v>
      </c>
      <c r="AV47" s="319">
        <v>5</v>
      </c>
      <c r="AW47" s="319">
        <v>5</v>
      </c>
      <c r="AX47" s="319">
        <v>5</v>
      </c>
      <c r="AY47" s="319">
        <v>5</v>
      </c>
      <c r="AZ47" s="319">
        <v>5</v>
      </c>
      <c r="BA47" s="319">
        <v>5</v>
      </c>
      <c r="BB47" s="319">
        <v>5</v>
      </c>
      <c r="BC47" s="319">
        <v>5</v>
      </c>
      <c r="BD47" s="319">
        <v>5</v>
      </c>
      <c r="BE47" s="319">
        <v>5</v>
      </c>
      <c r="BF47" s="319">
        <v>5</v>
      </c>
      <c r="BG47" s="319">
        <v>5</v>
      </c>
      <c r="BH47" s="319">
        <v>5</v>
      </c>
      <c r="BI47" s="319">
        <v>5</v>
      </c>
      <c r="BJ47" s="319">
        <v>5</v>
      </c>
      <c r="BK47" s="319">
        <v>5</v>
      </c>
      <c r="BL47" s="319">
        <v>5</v>
      </c>
      <c r="BM47" s="320">
        <v>5</v>
      </c>
      <c r="BN47" s="318">
        <v>4</v>
      </c>
      <c r="BO47" s="319">
        <v>4</v>
      </c>
      <c r="BP47" s="319">
        <v>5</v>
      </c>
      <c r="BQ47" s="319">
        <v>5</v>
      </c>
      <c r="BR47" s="319">
        <v>5</v>
      </c>
      <c r="BS47" s="319">
        <v>5</v>
      </c>
      <c r="BT47" s="319">
        <v>5</v>
      </c>
      <c r="BU47" s="319">
        <v>5</v>
      </c>
      <c r="BV47" s="319">
        <v>5</v>
      </c>
      <c r="BW47" s="319">
        <v>5</v>
      </c>
      <c r="BX47" s="319">
        <v>5</v>
      </c>
      <c r="BY47" s="319">
        <v>5</v>
      </c>
      <c r="BZ47" s="319">
        <v>5</v>
      </c>
      <c r="CA47" s="319">
        <v>5</v>
      </c>
      <c r="CB47" s="319">
        <v>5</v>
      </c>
      <c r="CC47" s="319">
        <v>5</v>
      </c>
      <c r="CD47" s="319">
        <v>5</v>
      </c>
      <c r="CE47" s="319">
        <v>5</v>
      </c>
      <c r="CF47" s="319">
        <v>5</v>
      </c>
      <c r="CG47" s="320">
        <v>5</v>
      </c>
      <c r="CH47" s="318">
        <v>4</v>
      </c>
      <c r="CI47" s="319">
        <v>4</v>
      </c>
      <c r="CJ47" s="319">
        <v>4</v>
      </c>
      <c r="CK47" s="319">
        <v>5</v>
      </c>
      <c r="CL47" s="319">
        <v>5</v>
      </c>
      <c r="CM47" s="319">
        <v>5</v>
      </c>
      <c r="CN47" s="319">
        <v>5</v>
      </c>
      <c r="CO47" s="319">
        <v>5</v>
      </c>
      <c r="CP47" s="319">
        <v>5</v>
      </c>
      <c r="CQ47" s="319">
        <v>5</v>
      </c>
      <c r="CR47" s="319">
        <v>5</v>
      </c>
      <c r="CS47" s="319">
        <v>5</v>
      </c>
      <c r="CT47" s="319">
        <v>5</v>
      </c>
      <c r="CU47" s="319">
        <v>5</v>
      </c>
      <c r="CV47" s="319">
        <v>5</v>
      </c>
      <c r="CW47" s="319">
        <v>5</v>
      </c>
      <c r="CX47" s="319">
        <v>5</v>
      </c>
      <c r="CY47" s="319">
        <v>5</v>
      </c>
      <c r="CZ47" s="319">
        <v>5</v>
      </c>
      <c r="DA47" s="320">
        <v>5</v>
      </c>
      <c r="DB47" s="318">
        <v>4</v>
      </c>
      <c r="DC47" s="319">
        <v>4</v>
      </c>
      <c r="DD47" s="319">
        <v>4</v>
      </c>
      <c r="DE47" s="319">
        <v>4</v>
      </c>
      <c r="DF47" s="319">
        <v>5</v>
      </c>
      <c r="DG47" s="319">
        <v>5</v>
      </c>
      <c r="DH47" s="319">
        <v>5</v>
      </c>
      <c r="DI47" s="319">
        <v>5</v>
      </c>
      <c r="DJ47" s="319">
        <v>5</v>
      </c>
      <c r="DK47" s="319">
        <v>5</v>
      </c>
      <c r="DL47" s="319">
        <v>5</v>
      </c>
      <c r="DM47" s="319">
        <v>5</v>
      </c>
      <c r="DN47" s="319">
        <v>5</v>
      </c>
      <c r="DO47" s="319">
        <v>5</v>
      </c>
      <c r="DP47" s="319">
        <v>5</v>
      </c>
      <c r="DQ47" s="319">
        <v>5</v>
      </c>
      <c r="DR47" s="319">
        <v>5</v>
      </c>
      <c r="DS47" s="319">
        <v>5</v>
      </c>
      <c r="DT47" s="319">
        <v>5</v>
      </c>
      <c r="DU47" s="320">
        <v>5</v>
      </c>
      <c r="DV47" s="318">
        <v>4</v>
      </c>
      <c r="DW47" s="319">
        <v>4</v>
      </c>
      <c r="DX47" s="319">
        <v>4</v>
      </c>
      <c r="DY47" s="319">
        <v>4</v>
      </c>
      <c r="DZ47" s="319">
        <v>4</v>
      </c>
      <c r="EA47" s="319">
        <v>5</v>
      </c>
      <c r="EB47" s="319">
        <v>5</v>
      </c>
      <c r="EC47" s="319">
        <v>5</v>
      </c>
      <c r="ED47" s="319">
        <v>5</v>
      </c>
      <c r="EE47" s="319">
        <v>5</v>
      </c>
      <c r="EF47" s="319">
        <v>5</v>
      </c>
      <c r="EG47" s="319">
        <v>5</v>
      </c>
      <c r="EH47" s="319">
        <v>5</v>
      </c>
      <c r="EI47" s="319">
        <v>5</v>
      </c>
      <c r="EJ47" s="319">
        <v>5</v>
      </c>
      <c r="EK47" s="319">
        <v>5</v>
      </c>
      <c r="EL47" s="319">
        <v>5</v>
      </c>
      <c r="EM47" s="319">
        <v>5</v>
      </c>
      <c r="EN47" s="319">
        <v>5</v>
      </c>
      <c r="EO47" s="320">
        <v>5</v>
      </c>
      <c r="EP47" s="318"/>
      <c r="EQ47" s="319"/>
      <c r="ER47" s="319"/>
      <c r="ES47" s="319"/>
      <c r="ET47" s="319"/>
      <c r="EU47" s="319"/>
      <c r="EV47" s="319"/>
      <c r="EW47" s="319"/>
      <c r="EX47" s="319"/>
      <c r="EY47" s="319"/>
      <c r="EZ47" s="319"/>
      <c r="FA47" s="319"/>
      <c r="FB47" s="319"/>
      <c r="FC47" s="319"/>
      <c r="FD47" s="319"/>
      <c r="FE47" s="319"/>
      <c r="FF47" s="319"/>
      <c r="FG47" s="319"/>
      <c r="FH47" s="319"/>
      <c r="FI47" s="320"/>
      <c r="FJ47" s="318"/>
      <c r="FK47" s="319"/>
      <c r="FL47" s="319"/>
      <c r="FM47" s="319"/>
      <c r="FN47" s="319"/>
      <c r="FO47" s="319"/>
      <c r="FP47" s="319"/>
      <c r="FQ47" s="319"/>
      <c r="FR47" s="319"/>
      <c r="FS47" s="319"/>
      <c r="FT47" s="319"/>
      <c r="FU47" s="319"/>
      <c r="FV47" s="319"/>
      <c r="FW47" s="319"/>
      <c r="FX47" s="319"/>
      <c r="FY47" s="319"/>
      <c r="FZ47" s="319"/>
      <c r="GA47" s="319"/>
      <c r="GB47" s="319"/>
      <c r="GC47" s="320"/>
      <c r="GD47" s="318"/>
      <c r="GE47" s="319"/>
      <c r="GF47" s="319"/>
      <c r="GG47" s="319"/>
      <c r="GH47" s="319"/>
      <c r="GI47" s="319"/>
      <c r="GJ47" s="319"/>
      <c r="GK47" s="319"/>
      <c r="GL47" s="319"/>
      <c r="GM47" s="319"/>
      <c r="GN47" s="319"/>
      <c r="GO47" s="319"/>
      <c r="GP47" s="319"/>
      <c r="GQ47" s="319"/>
      <c r="GR47" s="319"/>
      <c r="GS47" s="319"/>
      <c r="GT47" s="319"/>
      <c r="GU47" s="319"/>
      <c r="GV47" s="319"/>
      <c r="GW47" s="320"/>
      <c r="GX47" s="318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J47" s="319"/>
      <c r="HK47" s="319"/>
      <c r="HL47" s="319"/>
      <c r="HM47" s="319"/>
      <c r="HN47" s="319"/>
      <c r="HO47" s="319"/>
      <c r="HP47" s="319"/>
      <c r="HQ47" s="320"/>
      <c r="HR47" s="318"/>
      <c r="HS47" s="319"/>
      <c r="HT47" s="319"/>
      <c r="HU47" s="319"/>
      <c r="HV47" s="319"/>
      <c r="HW47" s="319"/>
      <c r="HX47" s="319"/>
      <c r="HY47" s="319"/>
      <c r="HZ47" s="319"/>
      <c r="IA47" s="319"/>
      <c r="IB47" s="319"/>
      <c r="IC47" s="319"/>
      <c r="ID47" s="319"/>
      <c r="IE47" s="319"/>
      <c r="IF47" s="319"/>
      <c r="IG47" s="319"/>
      <c r="IH47" s="319"/>
      <c r="II47" s="319"/>
      <c r="IJ47" s="319"/>
      <c r="IK47" s="320"/>
      <c r="IL47" s="318"/>
      <c r="IM47" s="319"/>
      <c r="IN47" s="319"/>
      <c r="IO47" s="319"/>
      <c r="IP47" s="319"/>
      <c r="IQ47" s="319"/>
      <c r="IR47" s="319"/>
      <c r="IS47" s="319"/>
      <c r="IT47" s="319"/>
      <c r="IU47" s="319"/>
      <c r="IV47" s="319"/>
      <c r="IW47" s="319"/>
      <c r="IX47" s="319"/>
      <c r="IY47" s="319"/>
      <c r="IZ47" s="319"/>
      <c r="JA47" s="319"/>
      <c r="JB47" s="319"/>
      <c r="JC47" s="319"/>
      <c r="JD47" s="319"/>
      <c r="JE47" s="320"/>
    </row>
    <row r="48" spans="2:265" x14ac:dyDescent="0.25">
      <c r="B48" s="102"/>
      <c r="C48" s="40"/>
      <c r="D48" s="102" t="s">
        <v>71</v>
      </c>
      <c r="E48" s="102" t="s">
        <v>308</v>
      </c>
      <c r="F48" s="86">
        <v>20</v>
      </c>
      <c r="G48" s="45">
        <v>21</v>
      </c>
      <c r="H48" s="45">
        <v>22</v>
      </c>
      <c r="I48" s="45">
        <v>23</v>
      </c>
      <c r="J48" s="45">
        <v>24</v>
      </c>
      <c r="K48" s="45">
        <v>25</v>
      </c>
      <c r="L48" s="45">
        <v>26</v>
      </c>
      <c r="M48" s="45">
        <v>27</v>
      </c>
      <c r="N48" s="45">
        <v>28</v>
      </c>
      <c r="O48" s="45">
        <v>1</v>
      </c>
      <c r="P48" s="45">
        <v>2</v>
      </c>
      <c r="Q48" s="45">
        <v>3</v>
      </c>
      <c r="R48" s="45">
        <v>4</v>
      </c>
      <c r="S48" s="45">
        <v>5</v>
      </c>
      <c r="T48" s="45">
        <v>6</v>
      </c>
      <c r="U48" s="45">
        <v>7</v>
      </c>
      <c r="V48" s="45">
        <v>8</v>
      </c>
      <c r="W48" s="45">
        <v>1</v>
      </c>
      <c r="X48" s="45">
        <v>2</v>
      </c>
      <c r="Y48" s="49">
        <v>3</v>
      </c>
      <c r="Z48" s="86">
        <v>1</v>
      </c>
      <c r="AA48" s="45">
        <v>2</v>
      </c>
      <c r="AB48" s="45">
        <v>3</v>
      </c>
      <c r="AC48" s="45">
        <v>4</v>
      </c>
      <c r="AD48" s="45">
        <v>5</v>
      </c>
      <c r="AE48" s="45">
        <v>6</v>
      </c>
      <c r="AF48" s="45">
        <v>7</v>
      </c>
      <c r="AG48" s="45">
        <v>8</v>
      </c>
      <c r="AH48" s="45">
        <v>1</v>
      </c>
      <c r="AI48" s="45">
        <v>2</v>
      </c>
      <c r="AJ48" s="45">
        <v>3</v>
      </c>
      <c r="AK48" s="45">
        <v>4</v>
      </c>
      <c r="AL48" s="45">
        <v>5</v>
      </c>
      <c r="AM48" s="45">
        <v>6</v>
      </c>
      <c r="AN48" s="45">
        <v>7</v>
      </c>
      <c r="AO48" s="45">
        <v>8</v>
      </c>
      <c r="AP48" s="45">
        <v>1</v>
      </c>
      <c r="AQ48" s="45">
        <v>2</v>
      </c>
      <c r="AR48" s="45">
        <v>3</v>
      </c>
      <c r="AS48" s="49">
        <v>4</v>
      </c>
      <c r="AT48" s="86">
        <v>20</v>
      </c>
      <c r="AU48" s="45">
        <v>1</v>
      </c>
      <c r="AV48" s="45">
        <v>2</v>
      </c>
      <c r="AW48" s="45">
        <v>3</v>
      </c>
      <c r="AX48" s="45">
        <v>4</v>
      </c>
      <c r="AY48" s="45">
        <v>5</v>
      </c>
      <c r="AZ48" s="45">
        <v>6</v>
      </c>
      <c r="BA48" s="45">
        <v>7</v>
      </c>
      <c r="BB48" s="45">
        <v>8</v>
      </c>
      <c r="BC48" s="45">
        <v>1</v>
      </c>
      <c r="BD48" s="45">
        <v>2</v>
      </c>
      <c r="BE48" s="45">
        <v>3</v>
      </c>
      <c r="BF48" s="45">
        <v>4</v>
      </c>
      <c r="BG48" s="45">
        <v>5</v>
      </c>
      <c r="BH48" s="45">
        <v>6</v>
      </c>
      <c r="BI48" s="45">
        <v>7</v>
      </c>
      <c r="BJ48" s="45">
        <v>8</v>
      </c>
      <c r="BK48" s="45">
        <v>1</v>
      </c>
      <c r="BL48" s="45">
        <v>2</v>
      </c>
      <c r="BM48" s="49">
        <v>3</v>
      </c>
      <c r="BN48" s="86">
        <v>20</v>
      </c>
      <c r="BO48" s="45">
        <v>21</v>
      </c>
      <c r="BP48" s="45">
        <v>1</v>
      </c>
      <c r="BQ48" s="45">
        <v>2</v>
      </c>
      <c r="BR48" s="45">
        <v>3</v>
      </c>
      <c r="BS48" s="45">
        <v>4</v>
      </c>
      <c r="BT48" s="45">
        <v>5</v>
      </c>
      <c r="BU48" s="45">
        <v>6</v>
      </c>
      <c r="BV48" s="45">
        <v>7</v>
      </c>
      <c r="BW48" s="45">
        <v>8</v>
      </c>
      <c r="BX48" s="45">
        <v>1</v>
      </c>
      <c r="BY48" s="45">
        <v>2</v>
      </c>
      <c r="BZ48" s="45">
        <v>3</v>
      </c>
      <c r="CA48" s="45">
        <v>4</v>
      </c>
      <c r="CB48" s="45">
        <v>5</v>
      </c>
      <c r="CC48" s="45">
        <v>6</v>
      </c>
      <c r="CD48" s="45">
        <v>7</v>
      </c>
      <c r="CE48" s="45">
        <v>8</v>
      </c>
      <c r="CF48" s="45">
        <v>1</v>
      </c>
      <c r="CG48" s="49">
        <v>2</v>
      </c>
      <c r="CH48" s="86">
        <v>20</v>
      </c>
      <c r="CI48" s="45">
        <v>21</v>
      </c>
      <c r="CJ48" s="45">
        <v>22</v>
      </c>
      <c r="CK48" s="45">
        <v>1</v>
      </c>
      <c r="CL48" s="45">
        <v>2</v>
      </c>
      <c r="CM48" s="45">
        <v>3</v>
      </c>
      <c r="CN48" s="45">
        <v>4</v>
      </c>
      <c r="CO48" s="45">
        <v>5</v>
      </c>
      <c r="CP48" s="45">
        <v>6</v>
      </c>
      <c r="CQ48" s="45">
        <v>7</v>
      </c>
      <c r="CR48" s="45">
        <v>8</v>
      </c>
      <c r="CS48" s="45">
        <v>1</v>
      </c>
      <c r="CT48" s="45">
        <v>2</v>
      </c>
      <c r="CU48" s="45">
        <v>3</v>
      </c>
      <c r="CV48" s="45">
        <v>4</v>
      </c>
      <c r="CW48" s="45">
        <v>5</v>
      </c>
      <c r="CX48" s="45">
        <v>6</v>
      </c>
      <c r="CY48" s="45">
        <v>7</v>
      </c>
      <c r="CZ48" s="45">
        <v>8</v>
      </c>
      <c r="DA48" s="49">
        <v>1</v>
      </c>
      <c r="DB48" s="86">
        <v>20</v>
      </c>
      <c r="DC48" s="45">
        <v>21</v>
      </c>
      <c r="DD48" s="45">
        <v>22</v>
      </c>
      <c r="DE48" s="45">
        <v>23</v>
      </c>
      <c r="DF48" s="45">
        <v>1</v>
      </c>
      <c r="DG48" s="45">
        <v>2</v>
      </c>
      <c r="DH48" s="45">
        <v>3</v>
      </c>
      <c r="DI48" s="45">
        <v>4</v>
      </c>
      <c r="DJ48" s="45">
        <v>5</v>
      </c>
      <c r="DK48" s="45">
        <v>6</v>
      </c>
      <c r="DL48" s="45">
        <v>7</v>
      </c>
      <c r="DM48" s="45">
        <v>8</v>
      </c>
      <c r="DN48" s="45">
        <v>1</v>
      </c>
      <c r="DO48" s="45">
        <v>2</v>
      </c>
      <c r="DP48" s="45">
        <v>3</v>
      </c>
      <c r="DQ48" s="45">
        <v>4</v>
      </c>
      <c r="DR48" s="45">
        <v>5</v>
      </c>
      <c r="DS48" s="45">
        <v>6</v>
      </c>
      <c r="DT48" s="45">
        <v>7</v>
      </c>
      <c r="DU48" s="49">
        <v>8</v>
      </c>
      <c r="DV48" s="86">
        <v>20</v>
      </c>
      <c r="DW48" s="45">
        <v>21</v>
      </c>
      <c r="DX48" s="45">
        <v>22</v>
      </c>
      <c r="DY48" s="45">
        <v>23</v>
      </c>
      <c r="DZ48" s="45">
        <v>24</v>
      </c>
      <c r="EA48" s="45">
        <v>1</v>
      </c>
      <c r="EB48" s="45">
        <v>2</v>
      </c>
      <c r="EC48" s="45">
        <v>3</v>
      </c>
      <c r="ED48" s="45">
        <v>4</v>
      </c>
      <c r="EE48" s="45">
        <v>5</v>
      </c>
      <c r="EF48" s="45">
        <v>6</v>
      </c>
      <c r="EG48" s="45">
        <v>7</v>
      </c>
      <c r="EH48" s="45">
        <v>8</v>
      </c>
      <c r="EI48" s="45">
        <v>1</v>
      </c>
      <c r="EJ48" s="45">
        <v>2</v>
      </c>
      <c r="EK48" s="45">
        <v>3</v>
      </c>
      <c r="EL48" s="45">
        <v>4</v>
      </c>
      <c r="EM48" s="45">
        <v>5</v>
      </c>
      <c r="EN48" s="45">
        <v>6</v>
      </c>
      <c r="EO48" s="49">
        <v>7</v>
      </c>
      <c r="EP48" s="86"/>
      <c r="EQ48" s="45"/>
      <c r="ER48" s="45"/>
      <c r="ES48" s="45"/>
      <c r="ET48" s="45"/>
      <c r="EU48" s="45"/>
      <c r="EV48" s="45"/>
      <c r="EW48" s="45"/>
      <c r="EX48" s="45"/>
      <c r="EY48" s="45"/>
      <c r="EZ48" s="45"/>
      <c r="FA48" s="45"/>
      <c r="FB48" s="45"/>
      <c r="FC48" s="45"/>
      <c r="FD48" s="45"/>
      <c r="FE48" s="45"/>
      <c r="FF48" s="45"/>
      <c r="FG48" s="45"/>
      <c r="FH48" s="45"/>
      <c r="FI48" s="49"/>
      <c r="FJ48" s="86"/>
      <c r="FK48" s="45"/>
      <c r="FL48" s="45"/>
      <c r="FM48" s="45"/>
      <c r="FN48" s="45"/>
      <c r="FO48" s="45"/>
      <c r="FP48" s="45"/>
      <c r="FQ48" s="45"/>
      <c r="FR48" s="45"/>
      <c r="FS48" s="45"/>
      <c r="FT48" s="45"/>
      <c r="FU48" s="45"/>
      <c r="FV48" s="45"/>
      <c r="FW48" s="45"/>
      <c r="FX48" s="45"/>
      <c r="FY48" s="45"/>
      <c r="FZ48" s="45"/>
      <c r="GA48" s="45"/>
      <c r="GB48" s="45"/>
      <c r="GC48" s="49"/>
      <c r="GD48" s="86"/>
      <c r="GE48" s="45"/>
      <c r="GF48" s="45"/>
      <c r="GG48" s="45"/>
      <c r="GH48" s="45"/>
      <c r="GI48" s="45"/>
      <c r="GJ48" s="45"/>
      <c r="GK48" s="45"/>
      <c r="GL48" s="45"/>
      <c r="GM48" s="45"/>
      <c r="GN48" s="45"/>
      <c r="GO48" s="45"/>
      <c r="GP48" s="45"/>
      <c r="GQ48" s="45"/>
      <c r="GR48" s="45"/>
      <c r="GS48" s="45"/>
      <c r="GT48" s="45"/>
      <c r="GU48" s="45"/>
      <c r="GV48" s="45"/>
      <c r="GW48" s="49"/>
      <c r="GX48" s="86"/>
      <c r="GY48" s="45"/>
      <c r="GZ48" s="45"/>
      <c r="HA48" s="45"/>
      <c r="HB48" s="45"/>
      <c r="HC48" s="45"/>
      <c r="HD48" s="45"/>
      <c r="HE48" s="45"/>
      <c r="HF48" s="45"/>
      <c r="HG48" s="45"/>
      <c r="HH48" s="45"/>
      <c r="HI48" s="45"/>
      <c r="HJ48" s="45"/>
      <c r="HK48" s="45"/>
      <c r="HL48" s="45"/>
      <c r="HM48" s="45"/>
      <c r="HN48" s="45"/>
      <c r="HO48" s="45"/>
      <c r="HP48" s="45"/>
      <c r="HQ48" s="49"/>
      <c r="HR48" s="86"/>
      <c r="HS48" s="45"/>
      <c r="HT48" s="45"/>
      <c r="HU48" s="45"/>
      <c r="HV48" s="45"/>
      <c r="HW48" s="45"/>
      <c r="HX48" s="45"/>
      <c r="HY48" s="45"/>
      <c r="HZ48" s="45"/>
      <c r="IA48" s="45"/>
      <c r="IB48" s="45"/>
      <c r="IC48" s="45"/>
      <c r="ID48" s="45"/>
      <c r="IE48" s="45"/>
      <c r="IF48" s="45"/>
      <c r="IG48" s="45"/>
      <c r="IH48" s="45"/>
      <c r="II48" s="45"/>
      <c r="IJ48" s="45"/>
      <c r="IK48" s="49"/>
      <c r="IL48" s="86"/>
      <c r="IM48" s="45"/>
      <c r="IN48" s="45"/>
      <c r="IO48" s="45"/>
      <c r="IP48" s="45"/>
      <c r="IQ48" s="45"/>
      <c r="IR48" s="45"/>
      <c r="IS48" s="45"/>
      <c r="IT48" s="45"/>
      <c r="IU48" s="45"/>
      <c r="IV48" s="45"/>
      <c r="IW48" s="45"/>
      <c r="IX48" s="45"/>
      <c r="IY48" s="45"/>
      <c r="IZ48" s="45"/>
      <c r="JA48" s="45"/>
      <c r="JB48" s="45"/>
      <c r="JC48" s="45"/>
      <c r="JD48" s="45"/>
      <c r="JE48" s="49"/>
    </row>
    <row r="49" spans="2:265" x14ac:dyDescent="0.25">
      <c r="B49" s="102"/>
      <c r="C49" s="40"/>
      <c r="D49" s="102" t="s">
        <v>17</v>
      </c>
      <c r="E49" s="102" t="s">
        <v>39</v>
      </c>
      <c r="F49" s="318">
        <v>10</v>
      </c>
      <c r="G49" s="319">
        <v>10</v>
      </c>
      <c r="H49" s="319">
        <v>10</v>
      </c>
      <c r="I49" s="319">
        <v>10</v>
      </c>
      <c r="J49" s="319">
        <v>10</v>
      </c>
      <c r="K49" s="319">
        <v>10</v>
      </c>
      <c r="L49" s="319">
        <v>10</v>
      </c>
      <c r="M49" s="319">
        <v>10</v>
      </c>
      <c r="N49" s="319">
        <v>10</v>
      </c>
      <c r="O49" s="319">
        <v>10</v>
      </c>
      <c r="P49" s="319">
        <v>10</v>
      </c>
      <c r="Q49" s="319">
        <v>10</v>
      </c>
      <c r="R49" s="319">
        <v>10</v>
      </c>
      <c r="S49" s="319">
        <v>10</v>
      </c>
      <c r="T49" s="319">
        <v>10</v>
      </c>
      <c r="U49" s="319">
        <v>10</v>
      </c>
      <c r="V49" s="319">
        <v>10</v>
      </c>
      <c r="W49" s="319">
        <v>10</v>
      </c>
      <c r="X49" s="319">
        <v>10</v>
      </c>
      <c r="Y49" s="320">
        <v>10</v>
      </c>
      <c r="Z49" s="318">
        <v>10</v>
      </c>
      <c r="AA49" s="319">
        <v>10</v>
      </c>
      <c r="AB49" s="319">
        <v>10</v>
      </c>
      <c r="AC49" s="319">
        <v>10</v>
      </c>
      <c r="AD49" s="319">
        <v>10</v>
      </c>
      <c r="AE49" s="319">
        <v>10</v>
      </c>
      <c r="AF49" s="319">
        <v>10</v>
      </c>
      <c r="AG49" s="319">
        <v>10</v>
      </c>
      <c r="AH49" s="319">
        <v>10</v>
      </c>
      <c r="AI49" s="319">
        <v>10</v>
      </c>
      <c r="AJ49" s="319">
        <v>10</v>
      </c>
      <c r="AK49" s="319">
        <v>10</v>
      </c>
      <c r="AL49" s="319">
        <v>10</v>
      </c>
      <c r="AM49" s="319">
        <v>10</v>
      </c>
      <c r="AN49" s="319">
        <v>10</v>
      </c>
      <c r="AO49" s="319">
        <v>10</v>
      </c>
      <c r="AP49" s="319">
        <v>10</v>
      </c>
      <c r="AQ49" s="319">
        <v>10</v>
      </c>
      <c r="AR49" s="319">
        <v>10</v>
      </c>
      <c r="AS49" s="320">
        <v>10</v>
      </c>
      <c r="AT49" s="318">
        <v>10</v>
      </c>
      <c r="AU49" s="319">
        <v>10</v>
      </c>
      <c r="AV49" s="319">
        <v>10</v>
      </c>
      <c r="AW49" s="319">
        <v>10</v>
      </c>
      <c r="AX49" s="319">
        <v>10</v>
      </c>
      <c r="AY49" s="319">
        <v>10</v>
      </c>
      <c r="AZ49" s="319">
        <v>10</v>
      </c>
      <c r="BA49" s="319">
        <v>10</v>
      </c>
      <c r="BB49" s="319">
        <v>10</v>
      </c>
      <c r="BC49" s="319">
        <v>10</v>
      </c>
      <c r="BD49" s="319">
        <v>10</v>
      </c>
      <c r="BE49" s="319">
        <v>10</v>
      </c>
      <c r="BF49" s="319">
        <v>10</v>
      </c>
      <c r="BG49" s="319">
        <v>10</v>
      </c>
      <c r="BH49" s="319">
        <v>10</v>
      </c>
      <c r="BI49" s="319">
        <v>10</v>
      </c>
      <c r="BJ49" s="319">
        <v>10</v>
      </c>
      <c r="BK49" s="319">
        <v>10</v>
      </c>
      <c r="BL49" s="319">
        <v>10</v>
      </c>
      <c r="BM49" s="320">
        <v>10</v>
      </c>
      <c r="BN49" s="318">
        <v>10</v>
      </c>
      <c r="BO49" s="319">
        <v>10</v>
      </c>
      <c r="BP49" s="319">
        <v>10</v>
      </c>
      <c r="BQ49" s="319">
        <v>10</v>
      </c>
      <c r="BR49" s="319">
        <v>10</v>
      </c>
      <c r="BS49" s="319">
        <v>10</v>
      </c>
      <c r="BT49" s="319">
        <v>10</v>
      </c>
      <c r="BU49" s="319">
        <v>10</v>
      </c>
      <c r="BV49" s="319">
        <v>10</v>
      </c>
      <c r="BW49" s="319">
        <v>10</v>
      </c>
      <c r="BX49" s="319">
        <v>10</v>
      </c>
      <c r="BY49" s="319">
        <v>10</v>
      </c>
      <c r="BZ49" s="319">
        <v>10</v>
      </c>
      <c r="CA49" s="319">
        <v>10</v>
      </c>
      <c r="CB49" s="319">
        <v>10</v>
      </c>
      <c r="CC49" s="319">
        <v>10</v>
      </c>
      <c r="CD49" s="319">
        <v>10</v>
      </c>
      <c r="CE49" s="319">
        <v>10</v>
      </c>
      <c r="CF49" s="319">
        <v>10</v>
      </c>
      <c r="CG49" s="320">
        <v>10</v>
      </c>
      <c r="CH49" s="318">
        <v>10</v>
      </c>
      <c r="CI49" s="319">
        <v>10</v>
      </c>
      <c r="CJ49" s="319">
        <v>10</v>
      </c>
      <c r="CK49" s="319">
        <v>10</v>
      </c>
      <c r="CL49" s="319">
        <v>10</v>
      </c>
      <c r="CM49" s="319">
        <v>10</v>
      </c>
      <c r="CN49" s="319">
        <v>10</v>
      </c>
      <c r="CO49" s="319">
        <v>10</v>
      </c>
      <c r="CP49" s="319">
        <v>10</v>
      </c>
      <c r="CQ49" s="319">
        <v>10</v>
      </c>
      <c r="CR49" s="319">
        <v>10</v>
      </c>
      <c r="CS49" s="319">
        <v>10</v>
      </c>
      <c r="CT49" s="319">
        <v>10</v>
      </c>
      <c r="CU49" s="319">
        <v>10</v>
      </c>
      <c r="CV49" s="319">
        <v>10</v>
      </c>
      <c r="CW49" s="319">
        <v>10</v>
      </c>
      <c r="CX49" s="319">
        <v>10</v>
      </c>
      <c r="CY49" s="319">
        <v>10</v>
      </c>
      <c r="CZ49" s="319">
        <v>10</v>
      </c>
      <c r="DA49" s="320">
        <v>10</v>
      </c>
      <c r="DB49" s="318">
        <v>10</v>
      </c>
      <c r="DC49" s="319">
        <v>10</v>
      </c>
      <c r="DD49" s="319">
        <v>10</v>
      </c>
      <c r="DE49" s="319">
        <v>10</v>
      </c>
      <c r="DF49" s="319">
        <v>10</v>
      </c>
      <c r="DG49" s="319">
        <v>10</v>
      </c>
      <c r="DH49" s="319">
        <v>10</v>
      </c>
      <c r="DI49" s="319">
        <v>10</v>
      </c>
      <c r="DJ49" s="319">
        <v>10</v>
      </c>
      <c r="DK49" s="319">
        <v>10</v>
      </c>
      <c r="DL49" s="319">
        <v>10</v>
      </c>
      <c r="DM49" s="319">
        <v>10</v>
      </c>
      <c r="DN49" s="319">
        <v>10</v>
      </c>
      <c r="DO49" s="319">
        <v>10</v>
      </c>
      <c r="DP49" s="319">
        <v>10</v>
      </c>
      <c r="DQ49" s="319">
        <v>10</v>
      </c>
      <c r="DR49" s="319">
        <v>10</v>
      </c>
      <c r="DS49" s="319">
        <v>10</v>
      </c>
      <c r="DT49" s="319">
        <v>10</v>
      </c>
      <c r="DU49" s="320">
        <v>10</v>
      </c>
      <c r="DV49" s="318">
        <v>10</v>
      </c>
      <c r="DW49" s="319">
        <v>10</v>
      </c>
      <c r="DX49" s="319">
        <v>10</v>
      </c>
      <c r="DY49" s="319">
        <v>10</v>
      </c>
      <c r="DZ49" s="319">
        <v>10</v>
      </c>
      <c r="EA49" s="319">
        <v>10</v>
      </c>
      <c r="EB49" s="319">
        <v>10</v>
      </c>
      <c r="EC49" s="319">
        <v>10</v>
      </c>
      <c r="ED49" s="319">
        <v>10</v>
      </c>
      <c r="EE49" s="319">
        <v>10</v>
      </c>
      <c r="EF49" s="319">
        <v>10</v>
      </c>
      <c r="EG49" s="319">
        <v>10</v>
      </c>
      <c r="EH49" s="319">
        <v>10</v>
      </c>
      <c r="EI49" s="319">
        <v>10</v>
      </c>
      <c r="EJ49" s="319">
        <v>10</v>
      </c>
      <c r="EK49" s="319">
        <v>10</v>
      </c>
      <c r="EL49" s="319">
        <v>10</v>
      </c>
      <c r="EM49" s="319">
        <v>10</v>
      </c>
      <c r="EN49" s="319">
        <v>10</v>
      </c>
      <c r="EO49" s="320">
        <v>10</v>
      </c>
      <c r="EP49" s="318"/>
      <c r="EQ49" s="319"/>
      <c r="ER49" s="319"/>
      <c r="ES49" s="319"/>
      <c r="ET49" s="319"/>
      <c r="EU49" s="319"/>
      <c r="EV49" s="319"/>
      <c r="EW49" s="319"/>
      <c r="EX49" s="319"/>
      <c r="EY49" s="319"/>
      <c r="EZ49" s="319"/>
      <c r="FA49" s="319"/>
      <c r="FB49" s="319"/>
      <c r="FC49" s="319"/>
      <c r="FD49" s="319"/>
      <c r="FE49" s="319"/>
      <c r="FF49" s="319"/>
      <c r="FG49" s="319"/>
      <c r="FH49" s="319"/>
      <c r="FI49" s="320"/>
      <c r="FJ49" s="318"/>
      <c r="FK49" s="319"/>
      <c r="FL49" s="319"/>
      <c r="FM49" s="319"/>
      <c r="FN49" s="319"/>
      <c r="FO49" s="319"/>
      <c r="FP49" s="319"/>
      <c r="FQ49" s="319"/>
      <c r="FR49" s="319"/>
      <c r="FS49" s="319"/>
      <c r="FT49" s="319"/>
      <c r="FU49" s="319"/>
      <c r="FV49" s="319"/>
      <c r="FW49" s="319"/>
      <c r="FX49" s="319"/>
      <c r="FY49" s="319"/>
      <c r="FZ49" s="319"/>
      <c r="GA49" s="319"/>
      <c r="GB49" s="319"/>
      <c r="GC49" s="320"/>
      <c r="GD49" s="318"/>
      <c r="GE49" s="319"/>
      <c r="GF49" s="319"/>
      <c r="GG49" s="319"/>
      <c r="GH49" s="319"/>
      <c r="GI49" s="319"/>
      <c r="GJ49" s="319"/>
      <c r="GK49" s="319"/>
      <c r="GL49" s="319"/>
      <c r="GM49" s="319"/>
      <c r="GN49" s="319"/>
      <c r="GO49" s="319"/>
      <c r="GP49" s="319"/>
      <c r="GQ49" s="319"/>
      <c r="GR49" s="319"/>
      <c r="GS49" s="319"/>
      <c r="GT49" s="319"/>
      <c r="GU49" s="319"/>
      <c r="GV49" s="319"/>
      <c r="GW49" s="320"/>
      <c r="GX49" s="318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J49" s="319"/>
      <c r="HK49" s="319"/>
      <c r="HL49" s="319"/>
      <c r="HM49" s="319"/>
      <c r="HN49" s="319"/>
      <c r="HO49" s="319"/>
      <c r="HP49" s="319"/>
      <c r="HQ49" s="320"/>
      <c r="HR49" s="318"/>
      <c r="HS49" s="319"/>
      <c r="HT49" s="319"/>
      <c r="HU49" s="319"/>
      <c r="HV49" s="319"/>
      <c r="HW49" s="319"/>
      <c r="HX49" s="319"/>
      <c r="HY49" s="319"/>
      <c r="HZ49" s="319"/>
      <c r="IA49" s="319"/>
      <c r="IB49" s="319"/>
      <c r="IC49" s="319"/>
      <c r="ID49" s="319"/>
      <c r="IE49" s="319"/>
      <c r="IF49" s="319"/>
      <c r="IG49" s="319"/>
      <c r="IH49" s="319"/>
      <c r="II49" s="319"/>
      <c r="IJ49" s="319"/>
      <c r="IK49" s="320"/>
      <c r="IL49" s="318"/>
      <c r="IM49" s="319"/>
      <c r="IN49" s="319"/>
      <c r="IO49" s="319"/>
      <c r="IP49" s="319"/>
      <c r="IQ49" s="319"/>
      <c r="IR49" s="319"/>
      <c r="IS49" s="319"/>
      <c r="IT49" s="319"/>
      <c r="IU49" s="319"/>
      <c r="IV49" s="319"/>
      <c r="IW49" s="319"/>
      <c r="IX49" s="319"/>
      <c r="IY49" s="319"/>
      <c r="IZ49" s="319"/>
      <c r="JA49" s="319"/>
      <c r="JB49" s="319"/>
      <c r="JC49" s="319"/>
      <c r="JD49" s="319"/>
      <c r="JE49" s="320"/>
    </row>
    <row r="50" spans="2:265" x14ac:dyDescent="0.25">
      <c r="B50" s="102"/>
      <c r="C50" s="40"/>
      <c r="D50" s="102" t="s">
        <v>311</v>
      </c>
      <c r="E50" s="102" t="s">
        <v>343</v>
      </c>
      <c r="F50" s="86">
        <v>3</v>
      </c>
      <c r="G50" s="45">
        <v>3</v>
      </c>
      <c r="H50" s="45">
        <v>3</v>
      </c>
      <c r="I50" s="45">
        <v>3</v>
      </c>
      <c r="J50" s="45">
        <v>3</v>
      </c>
      <c r="K50" s="45">
        <v>3</v>
      </c>
      <c r="L50" s="45">
        <v>3</v>
      </c>
      <c r="M50" s="45">
        <v>3</v>
      </c>
      <c r="N50" s="45">
        <v>3</v>
      </c>
      <c r="O50" s="45">
        <v>3</v>
      </c>
      <c r="P50" s="45">
        <v>3</v>
      </c>
      <c r="Q50" s="45">
        <v>3</v>
      </c>
      <c r="R50" s="45">
        <v>3</v>
      </c>
      <c r="S50" s="45">
        <v>3</v>
      </c>
      <c r="T50" s="45">
        <v>3</v>
      </c>
      <c r="U50" s="45">
        <v>3</v>
      </c>
      <c r="V50" s="45">
        <v>3</v>
      </c>
      <c r="W50" s="45">
        <v>3</v>
      </c>
      <c r="X50" s="45">
        <v>3</v>
      </c>
      <c r="Y50" s="49">
        <v>3</v>
      </c>
      <c r="Z50" s="86">
        <v>3</v>
      </c>
      <c r="AA50" s="45">
        <v>3</v>
      </c>
      <c r="AB50" s="45">
        <v>3</v>
      </c>
      <c r="AC50" s="45">
        <v>3</v>
      </c>
      <c r="AD50" s="45">
        <v>3</v>
      </c>
      <c r="AE50" s="45">
        <v>3</v>
      </c>
      <c r="AF50" s="45">
        <v>3</v>
      </c>
      <c r="AG50" s="45">
        <v>3</v>
      </c>
      <c r="AH50" s="45">
        <v>3</v>
      </c>
      <c r="AI50" s="45">
        <v>3</v>
      </c>
      <c r="AJ50" s="45">
        <v>3</v>
      </c>
      <c r="AK50" s="45">
        <v>3</v>
      </c>
      <c r="AL50" s="45">
        <v>3</v>
      </c>
      <c r="AM50" s="45">
        <v>3</v>
      </c>
      <c r="AN50" s="45">
        <v>3</v>
      </c>
      <c r="AO50" s="45">
        <v>3</v>
      </c>
      <c r="AP50" s="45">
        <v>3</v>
      </c>
      <c r="AQ50" s="45">
        <v>3</v>
      </c>
      <c r="AR50" s="45">
        <v>3</v>
      </c>
      <c r="AS50" s="49">
        <v>3</v>
      </c>
      <c r="AT50" s="86">
        <v>3</v>
      </c>
      <c r="AU50" s="45">
        <v>3</v>
      </c>
      <c r="AV50" s="45">
        <v>3</v>
      </c>
      <c r="AW50" s="45">
        <v>3</v>
      </c>
      <c r="AX50" s="45">
        <v>3</v>
      </c>
      <c r="AY50" s="45">
        <v>3</v>
      </c>
      <c r="AZ50" s="45">
        <v>3</v>
      </c>
      <c r="BA50" s="45">
        <v>3</v>
      </c>
      <c r="BB50" s="45">
        <v>3</v>
      </c>
      <c r="BC50" s="45">
        <v>3</v>
      </c>
      <c r="BD50" s="45">
        <v>3</v>
      </c>
      <c r="BE50" s="45">
        <v>3</v>
      </c>
      <c r="BF50" s="45">
        <v>3</v>
      </c>
      <c r="BG50" s="45">
        <v>3</v>
      </c>
      <c r="BH50" s="45">
        <v>3</v>
      </c>
      <c r="BI50" s="45">
        <v>3</v>
      </c>
      <c r="BJ50" s="45">
        <v>3</v>
      </c>
      <c r="BK50" s="45">
        <v>3</v>
      </c>
      <c r="BL50" s="45">
        <v>3</v>
      </c>
      <c r="BM50" s="49">
        <v>3</v>
      </c>
      <c r="BN50" s="86">
        <v>3</v>
      </c>
      <c r="BO50" s="45">
        <v>3</v>
      </c>
      <c r="BP50" s="45">
        <v>3</v>
      </c>
      <c r="BQ50" s="45">
        <v>3</v>
      </c>
      <c r="BR50" s="45">
        <v>3</v>
      </c>
      <c r="BS50" s="45">
        <v>3</v>
      </c>
      <c r="BT50" s="45">
        <v>3</v>
      </c>
      <c r="BU50" s="45">
        <v>3</v>
      </c>
      <c r="BV50" s="45">
        <v>3</v>
      </c>
      <c r="BW50" s="45">
        <v>3</v>
      </c>
      <c r="BX50" s="45">
        <v>3</v>
      </c>
      <c r="BY50" s="45">
        <v>3</v>
      </c>
      <c r="BZ50" s="45">
        <v>3</v>
      </c>
      <c r="CA50" s="45">
        <v>3</v>
      </c>
      <c r="CB50" s="45">
        <v>3</v>
      </c>
      <c r="CC50" s="45">
        <v>3</v>
      </c>
      <c r="CD50" s="45">
        <v>3</v>
      </c>
      <c r="CE50" s="45">
        <v>3</v>
      </c>
      <c r="CF50" s="45">
        <v>3</v>
      </c>
      <c r="CG50" s="49">
        <v>3</v>
      </c>
      <c r="CH50" s="86">
        <v>3</v>
      </c>
      <c r="CI50" s="45">
        <v>3</v>
      </c>
      <c r="CJ50" s="45">
        <v>3</v>
      </c>
      <c r="CK50" s="45">
        <v>3</v>
      </c>
      <c r="CL50" s="45">
        <v>3</v>
      </c>
      <c r="CM50" s="45">
        <v>3</v>
      </c>
      <c r="CN50" s="45">
        <v>3</v>
      </c>
      <c r="CO50" s="45">
        <v>3</v>
      </c>
      <c r="CP50" s="45">
        <v>3</v>
      </c>
      <c r="CQ50" s="45">
        <v>3</v>
      </c>
      <c r="CR50" s="45">
        <v>3</v>
      </c>
      <c r="CS50" s="45">
        <v>3</v>
      </c>
      <c r="CT50" s="45">
        <v>3</v>
      </c>
      <c r="CU50" s="45">
        <v>3</v>
      </c>
      <c r="CV50" s="45">
        <v>3</v>
      </c>
      <c r="CW50" s="45">
        <v>3</v>
      </c>
      <c r="CX50" s="45">
        <v>3</v>
      </c>
      <c r="CY50" s="45">
        <v>3</v>
      </c>
      <c r="CZ50" s="45">
        <v>3</v>
      </c>
      <c r="DA50" s="49">
        <v>3</v>
      </c>
      <c r="DB50" s="86">
        <v>3</v>
      </c>
      <c r="DC50" s="45">
        <v>3</v>
      </c>
      <c r="DD50" s="45">
        <v>3</v>
      </c>
      <c r="DE50" s="45">
        <v>3</v>
      </c>
      <c r="DF50" s="45">
        <v>3</v>
      </c>
      <c r="DG50" s="45">
        <v>3</v>
      </c>
      <c r="DH50" s="45">
        <v>3</v>
      </c>
      <c r="DI50" s="45">
        <v>3</v>
      </c>
      <c r="DJ50" s="45">
        <v>3</v>
      </c>
      <c r="DK50" s="45">
        <v>3</v>
      </c>
      <c r="DL50" s="45">
        <v>3</v>
      </c>
      <c r="DM50" s="45">
        <v>3</v>
      </c>
      <c r="DN50" s="45">
        <v>3</v>
      </c>
      <c r="DO50" s="45">
        <v>3</v>
      </c>
      <c r="DP50" s="45">
        <v>3</v>
      </c>
      <c r="DQ50" s="45">
        <v>3</v>
      </c>
      <c r="DR50" s="45">
        <v>3</v>
      </c>
      <c r="DS50" s="45">
        <v>3</v>
      </c>
      <c r="DT50" s="45">
        <v>3</v>
      </c>
      <c r="DU50" s="49">
        <v>3</v>
      </c>
      <c r="DV50" s="86">
        <v>3</v>
      </c>
      <c r="DW50" s="45">
        <v>3</v>
      </c>
      <c r="DX50" s="45">
        <v>3</v>
      </c>
      <c r="DY50" s="45">
        <v>3</v>
      </c>
      <c r="DZ50" s="45">
        <v>3</v>
      </c>
      <c r="EA50" s="45">
        <v>3</v>
      </c>
      <c r="EB50" s="45">
        <v>3</v>
      </c>
      <c r="EC50" s="45">
        <v>3</v>
      </c>
      <c r="ED50" s="45">
        <v>3</v>
      </c>
      <c r="EE50" s="45">
        <v>3</v>
      </c>
      <c r="EF50" s="45">
        <v>3</v>
      </c>
      <c r="EG50" s="45">
        <v>3</v>
      </c>
      <c r="EH50" s="45">
        <v>3</v>
      </c>
      <c r="EI50" s="45">
        <v>3</v>
      </c>
      <c r="EJ50" s="45">
        <v>3</v>
      </c>
      <c r="EK50" s="45">
        <v>3</v>
      </c>
      <c r="EL50" s="45">
        <v>3</v>
      </c>
      <c r="EM50" s="45">
        <v>3</v>
      </c>
      <c r="EN50" s="45">
        <v>3</v>
      </c>
      <c r="EO50" s="49">
        <v>3</v>
      </c>
      <c r="EP50" s="86"/>
      <c r="EQ50" s="45"/>
      <c r="ER50" s="45"/>
      <c r="ES50" s="45"/>
      <c r="ET50" s="45"/>
      <c r="EU50" s="45"/>
      <c r="EV50" s="45"/>
      <c r="EW50" s="45"/>
      <c r="EX50" s="45"/>
      <c r="EY50" s="45"/>
      <c r="EZ50" s="45"/>
      <c r="FA50" s="45"/>
      <c r="FB50" s="45"/>
      <c r="FC50" s="45"/>
      <c r="FD50" s="45"/>
      <c r="FE50" s="45"/>
      <c r="FF50" s="45"/>
      <c r="FG50" s="45"/>
      <c r="FH50" s="45"/>
      <c r="FI50" s="49"/>
      <c r="FJ50" s="86"/>
      <c r="FK50" s="45"/>
      <c r="FL50" s="45"/>
      <c r="FM50" s="45"/>
      <c r="FN50" s="45"/>
      <c r="FO50" s="45"/>
      <c r="FP50" s="45"/>
      <c r="FQ50" s="45"/>
      <c r="FR50" s="45"/>
      <c r="FS50" s="45"/>
      <c r="FT50" s="45"/>
      <c r="FU50" s="45"/>
      <c r="FV50" s="45"/>
      <c r="FW50" s="45"/>
      <c r="FX50" s="45"/>
      <c r="FY50" s="45"/>
      <c r="FZ50" s="45"/>
      <c r="GA50" s="45"/>
      <c r="GB50" s="45"/>
      <c r="GC50" s="49"/>
      <c r="GD50" s="86"/>
      <c r="GE50" s="45"/>
      <c r="GF50" s="45"/>
      <c r="GG50" s="45"/>
      <c r="GH50" s="45"/>
      <c r="GI50" s="45"/>
      <c r="GJ50" s="45"/>
      <c r="GK50" s="45"/>
      <c r="GL50" s="45"/>
      <c r="GM50" s="45"/>
      <c r="GN50" s="45"/>
      <c r="GO50" s="45"/>
      <c r="GP50" s="45"/>
      <c r="GQ50" s="45"/>
      <c r="GR50" s="45"/>
      <c r="GS50" s="45"/>
      <c r="GT50" s="45"/>
      <c r="GU50" s="45"/>
      <c r="GV50" s="45"/>
      <c r="GW50" s="49"/>
      <c r="GX50" s="86"/>
      <c r="GY50" s="45"/>
      <c r="GZ50" s="45"/>
      <c r="HA50" s="45"/>
      <c r="HB50" s="45"/>
      <c r="HC50" s="45"/>
      <c r="HD50" s="45"/>
      <c r="HE50" s="45"/>
      <c r="HF50" s="45"/>
      <c r="HG50" s="45"/>
      <c r="HH50" s="45"/>
      <c r="HI50" s="45"/>
      <c r="HJ50" s="45"/>
      <c r="HK50" s="45"/>
      <c r="HL50" s="45"/>
      <c r="HM50" s="45"/>
      <c r="HN50" s="45"/>
      <c r="HO50" s="45"/>
      <c r="HP50" s="45"/>
      <c r="HQ50" s="49"/>
      <c r="HR50" s="86"/>
      <c r="HS50" s="45"/>
      <c r="HT50" s="45"/>
      <c r="HU50" s="45"/>
      <c r="HV50" s="45"/>
      <c r="HW50" s="45"/>
      <c r="HX50" s="45"/>
      <c r="HY50" s="45"/>
      <c r="HZ50" s="45"/>
      <c r="IA50" s="45"/>
      <c r="IB50" s="45"/>
      <c r="IC50" s="45"/>
      <c r="ID50" s="45"/>
      <c r="IE50" s="45"/>
      <c r="IF50" s="45"/>
      <c r="IG50" s="45"/>
      <c r="IH50" s="45"/>
      <c r="II50" s="45"/>
      <c r="IJ50" s="45"/>
      <c r="IK50" s="49"/>
      <c r="IL50" s="86"/>
      <c r="IM50" s="45"/>
      <c r="IN50" s="45"/>
      <c r="IO50" s="45"/>
      <c r="IP50" s="45"/>
      <c r="IQ50" s="45"/>
      <c r="IR50" s="45"/>
      <c r="IS50" s="45"/>
      <c r="IT50" s="45"/>
      <c r="IU50" s="45"/>
      <c r="IV50" s="45"/>
      <c r="IW50" s="45"/>
      <c r="IX50" s="45"/>
      <c r="IY50" s="45"/>
      <c r="IZ50" s="45"/>
      <c r="JA50" s="45"/>
      <c r="JB50" s="45"/>
      <c r="JC50" s="45"/>
      <c r="JD50" s="45"/>
      <c r="JE50" s="49"/>
    </row>
    <row r="51" spans="2:265" x14ac:dyDescent="0.25">
      <c r="B51" s="102"/>
      <c r="C51" s="40"/>
      <c r="D51" s="102" t="s">
        <v>13</v>
      </c>
      <c r="E51" s="102" t="s">
        <v>35</v>
      </c>
      <c r="F51" s="318">
        <v>7</v>
      </c>
      <c r="G51" s="319">
        <v>7</v>
      </c>
      <c r="H51" s="319">
        <v>7</v>
      </c>
      <c r="I51" s="319">
        <v>7</v>
      </c>
      <c r="J51" s="319">
        <v>7</v>
      </c>
      <c r="K51" s="319">
        <v>7</v>
      </c>
      <c r="L51" s="319">
        <v>7</v>
      </c>
      <c r="M51" s="319">
        <v>7</v>
      </c>
      <c r="N51" s="319">
        <v>7</v>
      </c>
      <c r="O51" s="319">
        <v>7</v>
      </c>
      <c r="P51" s="319">
        <v>7</v>
      </c>
      <c r="Q51" s="319">
        <v>7</v>
      </c>
      <c r="R51" s="319">
        <v>7</v>
      </c>
      <c r="S51" s="319">
        <v>7</v>
      </c>
      <c r="T51" s="319">
        <v>7</v>
      </c>
      <c r="U51" s="319">
        <v>7</v>
      </c>
      <c r="V51" s="319">
        <v>7</v>
      </c>
      <c r="W51" s="319">
        <v>7</v>
      </c>
      <c r="X51" s="319">
        <v>7</v>
      </c>
      <c r="Y51" s="320">
        <v>7</v>
      </c>
      <c r="Z51" s="318">
        <v>7</v>
      </c>
      <c r="AA51" s="319">
        <v>7</v>
      </c>
      <c r="AB51" s="319">
        <v>7</v>
      </c>
      <c r="AC51" s="319">
        <v>7</v>
      </c>
      <c r="AD51" s="319">
        <v>7</v>
      </c>
      <c r="AE51" s="319">
        <v>7</v>
      </c>
      <c r="AF51" s="319">
        <v>7</v>
      </c>
      <c r="AG51" s="319">
        <v>7</v>
      </c>
      <c r="AH51" s="319">
        <v>7</v>
      </c>
      <c r="AI51" s="319">
        <v>7</v>
      </c>
      <c r="AJ51" s="319">
        <v>7</v>
      </c>
      <c r="AK51" s="319">
        <v>7</v>
      </c>
      <c r="AL51" s="319">
        <v>7</v>
      </c>
      <c r="AM51" s="319">
        <v>7</v>
      </c>
      <c r="AN51" s="319">
        <v>7</v>
      </c>
      <c r="AO51" s="319">
        <v>7</v>
      </c>
      <c r="AP51" s="319">
        <v>7</v>
      </c>
      <c r="AQ51" s="319">
        <v>7</v>
      </c>
      <c r="AR51" s="319">
        <v>7</v>
      </c>
      <c r="AS51" s="320">
        <v>7</v>
      </c>
      <c r="AT51" s="318">
        <v>7</v>
      </c>
      <c r="AU51" s="319">
        <v>7</v>
      </c>
      <c r="AV51" s="319">
        <v>7</v>
      </c>
      <c r="AW51" s="319">
        <v>7</v>
      </c>
      <c r="AX51" s="319">
        <v>7</v>
      </c>
      <c r="AY51" s="319">
        <v>7</v>
      </c>
      <c r="AZ51" s="319">
        <v>7</v>
      </c>
      <c r="BA51" s="319">
        <v>7</v>
      </c>
      <c r="BB51" s="319">
        <v>7</v>
      </c>
      <c r="BC51" s="319">
        <v>7</v>
      </c>
      <c r="BD51" s="319">
        <v>7</v>
      </c>
      <c r="BE51" s="319">
        <v>7</v>
      </c>
      <c r="BF51" s="319">
        <v>7</v>
      </c>
      <c r="BG51" s="319">
        <v>7</v>
      </c>
      <c r="BH51" s="319">
        <v>7</v>
      </c>
      <c r="BI51" s="319">
        <v>7</v>
      </c>
      <c r="BJ51" s="319">
        <v>7</v>
      </c>
      <c r="BK51" s="319">
        <v>7</v>
      </c>
      <c r="BL51" s="319">
        <v>7</v>
      </c>
      <c r="BM51" s="320">
        <v>7</v>
      </c>
      <c r="BN51" s="318">
        <v>7</v>
      </c>
      <c r="BO51" s="319">
        <v>7</v>
      </c>
      <c r="BP51" s="319">
        <v>7</v>
      </c>
      <c r="BQ51" s="319">
        <v>7</v>
      </c>
      <c r="BR51" s="319">
        <v>7</v>
      </c>
      <c r="BS51" s="319">
        <v>7</v>
      </c>
      <c r="BT51" s="319">
        <v>7</v>
      </c>
      <c r="BU51" s="319">
        <v>7</v>
      </c>
      <c r="BV51" s="319">
        <v>7</v>
      </c>
      <c r="BW51" s="319">
        <v>7</v>
      </c>
      <c r="BX51" s="319">
        <v>7</v>
      </c>
      <c r="BY51" s="319">
        <v>7</v>
      </c>
      <c r="BZ51" s="319">
        <v>7</v>
      </c>
      <c r="CA51" s="319">
        <v>7</v>
      </c>
      <c r="CB51" s="319">
        <v>7</v>
      </c>
      <c r="CC51" s="319">
        <v>7</v>
      </c>
      <c r="CD51" s="319">
        <v>7</v>
      </c>
      <c r="CE51" s="319">
        <v>7</v>
      </c>
      <c r="CF51" s="319">
        <v>7</v>
      </c>
      <c r="CG51" s="320">
        <v>7</v>
      </c>
      <c r="CH51" s="318">
        <v>7</v>
      </c>
      <c r="CI51" s="319">
        <v>7</v>
      </c>
      <c r="CJ51" s="319">
        <v>7</v>
      </c>
      <c r="CK51" s="319">
        <v>7</v>
      </c>
      <c r="CL51" s="319">
        <v>7</v>
      </c>
      <c r="CM51" s="319">
        <v>7</v>
      </c>
      <c r="CN51" s="319">
        <v>7</v>
      </c>
      <c r="CO51" s="319">
        <v>7</v>
      </c>
      <c r="CP51" s="319">
        <v>7</v>
      </c>
      <c r="CQ51" s="319">
        <v>7</v>
      </c>
      <c r="CR51" s="319">
        <v>7</v>
      </c>
      <c r="CS51" s="319">
        <v>7</v>
      </c>
      <c r="CT51" s="319">
        <v>7</v>
      </c>
      <c r="CU51" s="319">
        <v>7</v>
      </c>
      <c r="CV51" s="319">
        <v>7</v>
      </c>
      <c r="CW51" s="319">
        <v>7</v>
      </c>
      <c r="CX51" s="319">
        <v>7</v>
      </c>
      <c r="CY51" s="319">
        <v>7</v>
      </c>
      <c r="CZ51" s="319">
        <v>7</v>
      </c>
      <c r="DA51" s="320">
        <v>7</v>
      </c>
      <c r="DB51" s="318">
        <v>7</v>
      </c>
      <c r="DC51" s="319">
        <v>7</v>
      </c>
      <c r="DD51" s="319">
        <v>7</v>
      </c>
      <c r="DE51" s="319">
        <v>7</v>
      </c>
      <c r="DF51" s="319">
        <v>7</v>
      </c>
      <c r="DG51" s="319">
        <v>7</v>
      </c>
      <c r="DH51" s="319">
        <v>7</v>
      </c>
      <c r="DI51" s="319">
        <v>7</v>
      </c>
      <c r="DJ51" s="319">
        <v>7</v>
      </c>
      <c r="DK51" s="319">
        <v>7</v>
      </c>
      <c r="DL51" s="319">
        <v>7</v>
      </c>
      <c r="DM51" s="319">
        <v>7</v>
      </c>
      <c r="DN51" s="319">
        <v>7</v>
      </c>
      <c r="DO51" s="319">
        <v>7</v>
      </c>
      <c r="DP51" s="319">
        <v>7</v>
      </c>
      <c r="DQ51" s="319">
        <v>7</v>
      </c>
      <c r="DR51" s="319">
        <v>7</v>
      </c>
      <c r="DS51" s="319">
        <v>7</v>
      </c>
      <c r="DT51" s="319">
        <v>7</v>
      </c>
      <c r="DU51" s="320">
        <v>7</v>
      </c>
      <c r="DV51" s="318">
        <v>7</v>
      </c>
      <c r="DW51" s="319">
        <v>7</v>
      </c>
      <c r="DX51" s="319">
        <v>7</v>
      </c>
      <c r="DY51" s="319">
        <v>7</v>
      </c>
      <c r="DZ51" s="319">
        <v>7</v>
      </c>
      <c r="EA51" s="319">
        <v>7</v>
      </c>
      <c r="EB51" s="319">
        <v>7</v>
      </c>
      <c r="EC51" s="319">
        <v>7</v>
      </c>
      <c r="ED51" s="319">
        <v>7</v>
      </c>
      <c r="EE51" s="319">
        <v>7</v>
      </c>
      <c r="EF51" s="319">
        <v>7</v>
      </c>
      <c r="EG51" s="319">
        <v>7</v>
      </c>
      <c r="EH51" s="319">
        <v>7</v>
      </c>
      <c r="EI51" s="319">
        <v>7</v>
      </c>
      <c r="EJ51" s="319">
        <v>7</v>
      </c>
      <c r="EK51" s="319">
        <v>7</v>
      </c>
      <c r="EL51" s="319">
        <v>7</v>
      </c>
      <c r="EM51" s="319">
        <v>7</v>
      </c>
      <c r="EN51" s="319">
        <v>7</v>
      </c>
      <c r="EO51" s="320">
        <v>7</v>
      </c>
      <c r="EP51" s="318"/>
      <c r="EQ51" s="319"/>
      <c r="ER51" s="319"/>
      <c r="ES51" s="319"/>
      <c r="ET51" s="319"/>
      <c r="EU51" s="319"/>
      <c r="EV51" s="319"/>
      <c r="EW51" s="319"/>
      <c r="EX51" s="319"/>
      <c r="EY51" s="319"/>
      <c r="EZ51" s="319"/>
      <c r="FA51" s="319"/>
      <c r="FB51" s="319"/>
      <c r="FC51" s="319"/>
      <c r="FD51" s="319"/>
      <c r="FE51" s="319"/>
      <c r="FF51" s="319"/>
      <c r="FG51" s="319"/>
      <c r="FH51" s="319"/>
      <c r="FI51" s="320"/>
      <c r="FJ51" s="318"/>
      <c r="FK51" s="319"/>
      <c r="FL51" s="319"/>
      <c r="FM51" s="319"/>
      <c r="FN51" s="319"/>
      <c r="FO51" s="319"/>
      <c r="FP51" s="319"/>
      <c r="FQ51" s="319"/>
      <c r="FR51" s="319"/>
      <c r="FS51" s="319"/>
      <c r="FT51" s="319"/>
      <c r="FU51" s="319"/>
      <c r="FV51" s="319"/>
      <c r="FW51" s="319"/>
      <c r="FX51" s="319"/>
      <c r="FY51" s="319"/>
      <c r="FZ51" s="319"/>
      <c r="GA51" s="319"/>
      <c r="GB51" s="319"/>
      <c r="GC51" s="320"/>
      <c r="GD51" s="318"/>
      <c r="GE51" s="319"/>
      <c r="GF51" s="319"/>
      <c r="GG51" s="319"/>
      <c r="GH51" s="319"/>
      <c r="GI51" s="319"/>
      <c r="GJ51" s="319"/>
      <c r="GK51" s="319"/>
      <c r="GL51" s="319"/>
      <c r="GM51" s="319"/>
      <c r="GN51" s="319"/>
      <c r="GO51" s="319"/>
      <c r="GP51" s="319"/>
      <c r="GQ51" s="319"/>
      <c r="GR51" s="319"/>
      <c r="GS51" s="319"/>
      <c r="GT51" s="319"/>
      <c r="GU51" s="319"/>
      <c r="GV51" s="319"/>
      <c r="GW51" s="320"/>
      <c r="GX51" s="318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J51" s="319"/>
      <c r="HK51" s="319"/>
      <c r="HL51" s="319"/>
      <c r="HM51" s="319"/>
      <c r="HN51" s="319"/>
      <c r="HO51" s="319"/>
      <c r="HP51" s="319"/>
      <c r="HQ51" s="320"/>
      <c r="HR51" s="318"/>
      <c r="HS51" s="319"/>
      <c r="HT51" s="319"/>
      <c r="HU51" s="319"/>
      <c r="HV51" s="319"/>
      <c r="HW51" s="319"/>
      <c r="HX51" s="319"/>
      <c r="HY51" s="319"/>
      <c r="HZ51" s="319"/>
      <c r="IA51" s="319"/>
      <c r="IB51" s="319"/>
      <c r="IC51" s="319"/>
      <c r="ID51" s="319"/>
      <c r="IE51" s="319"/>
      <c r="IF51" s="319"/>
      <c r="IG51" s="319"/>
      <c r="IH51" s="319"/>
      <c r="II51" s="319"/>
      <c r="IJ51" s="319"/>
      <c r="IK51" s="320"/>
      <c r="IL51" s="318"/>
      <c r="IM51" s="319"/>
      <c r="IN51" s="319"/>
      <c r="IO51" s="319"/>
      <c r="IP51" s="319"/>
      <c r="IQ51" s="319"/>
      <c r="IR51" s="319"/>
      <c r="IS51" s="319"/>
      <c r="IT51" s="319"/>
      <c r="IU51" s="319"/>
      <c r="IV51" s="319"/>
      <c r="IW51" s="319"/>
      <c r="IX51" s="319"/>
      <c r="IY51" s="319"/>
      <c r="IZ51" s="319"/>
      <c r="JA51" s="319"/>
      <c r="JB51" s="319"/>
      <c r="JC51" s="319"/>
      <c r="JD51" s="319"/>
      <c r="JE51" s="320"/>
    </row>
    <row r="52" spans="2:265" x14ac:dyDescent="0.25">
      <c r="B52" s="102"/>
      <c r="C52" s="40"/>
      <c r="D52" s="102" t="s">
        <v>291</v>
      </c>
      <c r="E52" s="102" t="s">
        <v>38</v>
      </c>
      <c r="F52" s="86">
        <v>2</v>
      </c>
      <c r="G52" s="45">
        <v>2</v>
      </c>
      <c r="H52" s="45">
        <v>2</v>
      </c>
      <c r="I52" s="45">
        <v>2</v>
      </c>
      <c r="J52" s="45">
        <v>2</v>
      </c>
      <c r="K52" s="45">
        <v>2</v>
      </c>
      <c r="L52" s="45">
        <v>2</v>
      </c>
      <c r="M52" s="45">
        <v>2</v>
      </c>
      <c r="N52" s="45">
        <v>2</v>
      </c>
      <c r="O52" s="45">
        <v>2</v>
      </c>
      <c r="P52" s="45">
        <v>2</v>
      </c>
      <c r="Q52" s="45">
        <v>2</v>
      </c>
      <c r="R52" s="45">
        <v>2</v>
      </c>
      <c r="S52" s="45">
        <v>2</v>
      </c>
      <c r="T52" s="45">
        <v>2</v>
      </c>
      <c r="U52" s="45">
        <v>2</v>
      </c>
      <c r="V52" s="45">
        <v>2</v>
      </c>
      <c r="W52" s="45">
        <v>2</v>
      </c>
      <c r="X52" s="45">
        <v>2</v>
      </c>
      <c r="Y52" s="49">
        <v>2</v>
      </c>
      <c r="Z52" s="86">
        <v>2</v>
      </c>
      <c r="AA52" s="45">
        <v>2</v>
      </c>
      <c r="AB52" s="45">
        <v>2</v>
      </c>
      <c r="AC52" s="45">
        <v>2</v>
      </c>
      <c r="AD52" s="45">
        <v>2</v>
      </c>
      <c r="AE52" s="45">
        <v>2</v>
      </c>
      <c r="AF52" s="45">
        <v>2</v>
      </c>
      <c r="AG52" s="45">
        <v>2</v>
      </c>
      <c r="AH52" s="45">
        <v>2</v>
      </c>
      <c r="AI52" s="45">
        <v>2</v>
      </c>
      <c r="AJ52" s="45">
        <v>2</v>
      </c>
      <c r="AK52" s="45">
        <v>2</v>
      </c>
      <c r="AL52" s="45">
        <v>2</v>
      </c>
      <c r="AM52" s="45">
        <v>2</v>
      </c>
      <c r="AN52" s="45">
        <v>2</v>
      </c>
      <c r="AO52" s="45">
        <v>2</v>
      </c>
      <c r="AP52" s="45">
        <v>2</v>
      </c>
      <c r="AQ52" s="45">
        <v>2</v>
      </c>
      <c r="AR52" s="45">
        <v>2</v>
      </c>
      <c r="AS52" s="49">
        <v>2</v>
      </c>
      <c r="AT52" s="86">
        <v>2</v>
      </c>
      <c r="AU52" s="45">
        <v>2</v>
      </c>
      <c r="AV52" s="45">
        <v>2</v>
      </c>
      <c r="AW52" s="45">
        <v>2</v>
      </c>
      <c r="AX52" s="45">
        <v>2</v>
      </c>
      <c r="AY52" s="45">
        <v>2</v>
      </c>
      <c r="AZ52" s="45">
        <v>2</v>
      </c>
      <c r="BA52" s="45">
        <v>2</v>
      </c>
      <c r="BB52" s="45">
        <v>2</v>
      </c>
      <c r="BC52" s="45">
        <v>2</v>
      </c>
      <c r="BD52" s="45">
        <v>2</v>
      </c>
      <c r="BE52" s="45">
        <v>2</v>
      </c>
      <c r="BF52" s="45">
        <v>2</v>
      </c>
      <c r="BG52" s="45">
        <v>2</v>
      </c>
      <c r="BH52" s="45">
        <v>2</v>
      </c>
      <c r="BI52" s="45">
        <v>2</v>
      </c>
      <c r="BJ52" s="45">
        <v>2</v>
      </c>
      <c r="BK52" s="45">
        <v>2</v>
      </c>
      <c r="BL52" s="45">
        <v>2</v>
      </c>
      <c r="BM52" s="49">
        <v>2</v>
      </c>
      <c r="BN52" s="86">
        <v>2</v>
      </c>
      <c r="BO52" s="45">
        <v>2</v>
      </c>
      <c r="BP52" s="45">
        <v>2</v>
      </c>
      <c r="BQ52" s="45">
        <v>2</v>
      </c>
      <c r="BR52" s="45">
        <v>2</v>
      </c>
      <c r="BS52" s="45">
        <v>2</v>
      </c>
      <c r="BT52" s="45">
        <v>2</v>
      </c>
      <c r="BU52" s="45">
        <v>2</v>
      </c>
      <c r="BV52" s="45">
        <v>2</v>
      </c>
      <c r="BW52" s="45">
        <v>2</v>
      </c>
      <c r="BX52" s="45">
        <v>2</v>
      </c>
      <c r="BY52" s="45">
        <v>2</v>
      </c>
      <c r="BZ52" s="45">
        <v>2</v>
      </c>
      <c r="CA52" s="45">
        <v>2</v>
      </c>
      <c r="CB52" s="45">
        <v>2</v>
      </c>
      <c r="CC52" s="45">
        <v>2</v>
      </c>
      <c r="CD52" s="45">
        <v>2</v>
      </c>
      <c r="CE52" s="45">
        <v>2</v>
      </c>
      <c r="CF52" s="45">
        <v>2</v>
      </c>
      <c r="CG52" s="49">
        <v>2</v>
      </c>
      <c r="CH52" s="86">
        <v>2</v>
      </c>
      <c r="CI52" s="45">
        <v>2</v>
      </c>
      <c r="CJ52" s="45">
        <v>2</v>
      </c>
      <c r="CK52" s="45">
        <v>2</v>
      </c>
      <c r="CL52" s="45">
        <v>2</v>
      </c>
      <c r="CM52" s="45">
        <v>2</v>
      </c>
      <c r="CN52" s="45">
        <v>2</v>
      </c>
      <c r="CO52" s="45">
        <v>2</v>
      </c>
      <c r="CP52" s="45">
        <v>2</v>
      </c>
      <c r="CQ52" s="45">
        <v>2</v>
      </c>
      <c r="CR52" s="45">
        <v>2</v>
      </c>
      <c r="CS52" s="45">
        <v>2</v>
      </c>
      <c r="CT52" s="45">
        <v>2</v>
      </c>
      <c r="CU52" s="45">
        <v>2</v>
      </c>
      <c r="CV52" s="45">
        <v>2</v>
      </c>
      <c r="CW52" s="45">
        <v>2</v>
      </c>
      <c r="CX52" s="45">
        <v>2</v>
      </c>
      <c r="CY52" s="45">
        <v>2</v>
      </c>
      <c r="CZ52" s="45">
        <v>2</v>
      </c>
      <c r="DA52" s="49">
        <v>2</v>
      </c>
      <c r="DB52" s="86">
        <v>2</v>
      </c>
      <c r="DC52" s="45">
        <v>2</v>
      </c>
      <c r="DD52" s="45">
        <v>2</v>
      </c>
      <c r="DE52" s="45">
        <v>2</v>
      </c>
      <c r="DF52" s="45">
        <v>2</v>
      </c>
      <c r="DG52" s="45">
        <v>2</v>
      </c>
      <c r="DH52" s="45">
        <v>2</v>
      </c>
      <c r="DI52" s="45">
        <v>2</v>
      </c>
      <c r="DJ52" s="45">
        <v>2</v>
      </c>
      <c r="DK52" s="45">
        <v>2</v>
      </c>
      <c r="DL52" s="45">
        <v>2</v>
      </c>
      <c r="DM52" s="45">
        <v>2</v>
      </c>
      <c r="DN52" s="45">
        <v>2</v>
      </c>
      <c r="DO52" s="45">
        <v>2</v>
      </c>
      <c r="DP52" s="45">
        <v>2</v>
      </c>
      <c r="DQ52" s="45">
        <v>2</v>
      </c>
      <c r="DR52" s="45">
        <v>2</v>
      </c>
      <c r="DS52" s="45">
        <v>2</v>
      </c>
      <c r="DT52" s="45">
        <v>2</v>
      </c>
      <c r="DU52" s="49">
        <v>2</v>
      </c>
      <c r="DV52" s="86">
        <v>2</v>
      </c>
      <c r="DW52" s="45">
        <v>2</v>
      </c>
      <c r="DX52" s="45">
        <v>2</v>
      </c>
      <c r="DY52" s="45">
        <v>2</v>
      </c>
      <c r="DZ52" s="45">
        <v>2</v>
      </c>
      <c r="EA52" s="45">
        <v>2</v>
      </c>
      <c r="EB52" s="45">
        <v>2</v>
      </c>
      <c r="EC52" s="45">
        <v>2</v>
      </c>
      <c r="ED52" s="45">
        <v>2</v>
      </c>
      <c r="EE52" s="45">
        <v>2</v>
      </c>
      <c r="EF52" s="45">
        <v>2</v>
      </c>
      <c r="EG52" s="45">
        <v>2</v>
      </c>
      <c r="EH52" s="45">
        <v>2</v>
      </c>
      <c r="EI52" s="45">
        <v>2</v>
      </c>
      <c r="EJ52" s="45">
        <v>2</v>
      </c>
      <c r="EK52" s="45">
        <v>2</v>
      </c>
      <c r="EL52" s="45">
        <v>2</v>
      </c>
      <c r="EM52" s="45">
        <v>2</v>
      </c>
      <c r="EN52" s="45">
        <v>2</v>
      </c>
      <c r="EO52" s="49">
        <v>2</v>
      </c>
      <c r="EP52" s="86"/>
      <c r="EQ52" s="45"/>
      <c r="ER52" s="45"/>
      <c r="ES52" s="45"/>
      <c r="ET52" s="45"/>
      <c r="EU52" s="45"/>
      <c r="EV52" s="45"/>
      <c r="EW52" s="45"/>
      <c r="EX52" s="45"/>
      <c r="EY52" s="45"/>
      <c r="EZ52" s="45"/>
      <c r="FA52" s="45"/>
      <c r="FB52" s="45"/>
      <c r="FC52" s="45"/>
      <c r="FD52" s="45"/>
      <c r="FE52" s="45"/>
      <c r="FF52" s="45"/>
      <c r="FG52" s="45"/>
      <c r="FH52" s="45"/>
      <c r="FI52" s="49"/>
      <c r="FJ52" s="86"/>
      <c r="FK52" s="45"/>
      <c r="FL52" s="45"/>
      <c r="FM52" s="45"/>
      <c r="FN52" s="45"/>
      <c r="FO52" s="45"/>
      <c r="FP52" s="45"/>
      <c r="FQ52" s="45"/>
      <c r="FR52" s="45"/>
      <c r="FS52" s="45"/>
      <c r="FT52" s="45"/>
      <c r="FU52" s="45"/>
      <c r="FV52" s="45"/>
      <c r="FW52" s="45"/>
      <c r="FX52" s="45"/>
      <c r="FY52" s="45"/>
      <c r="FZ52" s="45"/>
      <c r="GA52" s="45"/>
      <c r="GB52" s="45"/>
      <c r="GC52" s="49"/>
      <c r="GD52" s="86"/>
      <c r="GE52" s="45"/>
      <c r="GF52" s="45"/>
      <c r="GG52" s="45"/>
      <c r="GH52" s="45"/>
      <c r="GI52" s="45"/>
      <c r="GJ52" s="45"/>
      <c r="GK52" s="45"/>
      <c r="GL52" s="45"/>
      <c r="GM52" s="45"/>
      <c r="GN52" s="45"/>
      <c r="GO52" s="45"/>
      <c r="GP52" s="45"/>
      <c r="GQ52" s="45"/>
      <c r="GR52" s="45"/>
      <c r="GS52" s="45"/>
      <c r="GT52" s="45"/>
      <c r="GU52" s="45"/>
      <c r="GV52" s="45"/>
      <c r="GW52" s="49"/>
      <c r="GX52" s="86"/>
      <c r="GY52" s="45"/>
      <c r="GZ52" s="45"/>
      <c r="HA52" s="45"/>
      <c r="HB52" s="45"/>
      <c r="HC52" s="45"/>
      <c r="HD52" s="45"/>
      <c r="HE52" s="45"/>
      <c r="HF52" s="45"/>
      <c r="HG52" s="45"/>
      <c r="HH52" s="45"/>
      <c r="HI52" s="45"/>
      <c r="HJ52" s="45"/>
      <c r="HK52" s="45"/>
      <c r="HL52" s="45"/>
      <c r="HM52" s="45"/>
      <c r="HN52" s="45"/>
      <c r="HO52" s="45"/>
      <c r="HP52" s="45"/>
      <c r="HQ52" s="49"/>
      <c r="HR52" s="86"/>
      <c r="HS52" s="45"/>
      <c r="HT52" s="45"/>
      <c r="HU52" s="45"/>
      <c r="HV52" s="45"/>
      <c r="HW52" s="45"/>
      <c r="HX52" s="45"/>
      <c r="HY52" s="45"/>
      <c r="HZ52" s="45"/>
      <c r="IA52" s="45"/>
      <c r="IB52" s="45"/>
      <c r="IC52" s="45"/>
      <c r="ID52" s="45"/>
      <c r="IE52" s="45"/>
      <c r="IF52" s="45"/>
      <c r="IG52" s="45"/>
      <c r="IH52" s="45"/>
      <c r="II52" s="45"/>
      <c r="IJ52" s="45"/>
      <c r="IK52" s="49"/>
      <c r="IL52" s="86"/>
      <c r="IM52" s="45"/>
      <c r="IN52" s="45"/>
      <c r="IO52" s="45"/>
      <c r="IP52" s="45"/>
      <c r="IQ52" s="45"/>
      <c r="IR52" s="45"/>
      <c r="IS52" s="45"/>
      <c r="IT52" s="45"/>
      <c r="IU52" s="45"/>
      <c r="IV52" s="45"/>
      <c r="IW52" s="45"/>
      <c r="IX52" s="45"/>
      <c r="IY52" s="45"/>
      <c r="IZ52" s="45"/>
      <c r="JA52" s="45"/>
      <c r="JB52" s="45"/>
      <c r="JC52" s="45"/>
      <c r="JD52" s="45"/>
      <c r="JE52" s="49"/>
    </row>
    <row r="53" spans="2:265" x14ac:dyDescent="0.25">
      <c r="B53" s="102"/>
      <c r="C53" s="40"/>
      <c r="D53" s="102" t="s">
        <v>42</v>
      </c>
      <c r="E53" s="102" t="s">
        <v>201</v>
      </c>
      <c r="F53" s="318">
        <v>51.40241800432716</v>
      </c>
      <c r="G53" s="319">
        <v>49.953591564033502</v>
      </c>
      <c r="H53" s="319">
        <v>48.495867367942857</v>
      </c>
      <c r="I53" s="319">
        <v>47.034308926208602</v>
      </c>
      <c r="J53" s="319">
        <v>45.574674021662219</v>
      </c>
      <c r="K53" s="319">
        <v>44.123483879287392</v>
      </c>
      <c r="L53" s="319">
        <v>42.688098462090977</v>
      </c>
      <c r="M53" s="319">
        <v>41.276798405551752</v>
      </c>
      <c r="N53" s="319">
        <v>39.89887414429753</v>
      </c>
      <c r="O53" s="319">
        <v>91.215318079594951</v>
      </c>
      <c r="P53" s="319">
        <v>91.16711768802179</v>
      </c>
      <c r="Q53" s="319">
        <v>91.115031740993416</v>
      </c>
      <c r="R53" s="319">
        <v>91.05884546520268</v>
      </c>
      <c r="S53" s="319">
        <v>90.998334152042631</v>
      </c>
      <c r="T53" s="319">
        <v>90.933262784894339</v>
      </c>
      <c r="U53" s="319">
        <v>90.863385659015989</v>
      </c>
      <c r="V53" s="319">
        <v>90.788445994577771</v>
      </c>
      <c r="W53" s="319">
        <v>90.619018103795653</v>
      </c>
      <c r="X53" s="319">
        <v>90.527010150993036</v>
      </c>
      <c r="Y53" s="320">
        <v>90.428782358896669</v>
      </c>
      <c r="Z53" s="318">
        <v>91.215318079594951</v>
      </c>
      <c r="AA53" s="319">
        <v>91.16711768802179</v>
      </c>
      <c r="AB53" s="319">
        <v>91.115031740993416</v>
      </c>
      <c r="AC53" s="319">
        <v>91.05884546520268</v>
      </c>
      <c r="AD53" s="319">
        <v>90.998334152042631</v>
      </c>
      <c r="AE53" s="319">
        <v>90.933262784894339</v>
      </c>
      <c r="AF53" s="319">
        <v>90.863385659015989</v>
      </c>
      <c r="AG53" s="319">
        <v>90.788445994577771</v>
      </c>
      <c r="AH53" s="319">
        <v>90.619018103795653</v>
      </c>
      <c r="AI53" s="319">
        <v>90.527010150993036</v>
      </c>
      <c r="AJ53" s="319">
        <v>90.428782358896669</v>
      </c>
      <c r="AK53" s="319">
        <v>90.324016089185349</v>
      </c>
      <c r="AL53" s="319">
        <v>90.212379191927553</v>
      </c>
      <c r="AM53" s="319">
        <v>90.09352559567985</v>
      </c>
      <c r="AN53" s="319">
        <v>89.967094899729133</v>
      </c>
      <c r="AO53" s="319">
        <v>89.832711970393589</v>
      </c>
      <c r="AP53" s="319">
        <v>90.619018103795653</v>
      </c>
      <c r="AQ53" s="319">
        <v>90.527010150993036</v>
      </c>
      <c r="AR53" s="319">
        <v>90.428782358896669</v>
      </c>
      <c r="AS53" s="320">
        <v>90.324016089185349</v>
      </c>
      <c r="AT53" s="318">
        <v>51.40241800432716</v>
      </c>
      <c r="AU53" s="319">
        <v>91.215318079594951</v>
      </c>
      <c r="AV53" s="319">
        <v>91.16711768802179</v>
      </c>
      <c r="AW53" s="319">
        <v>91.115031740993416</v>
      </c>
      <c r="AX53" s="319">
        <v>91.05884546520268</v>
      </c>
      <c r="AY53" s="319">
        <v>90.998334152042631</v>
      </c>
      <c r="AZ53" s="319">
        <v>90.933262784894339</v>
      </c>
      <c r="BA53" s="319">
        <v>90.863385659015989</v>
      </c>
      <c r="BB53" s="319">
        <v>90.788445994577771</v>
      </c>
      <c r="BC53" s="319">
        <v>90.619018103795653</v>
      </c>
      <c r="BD53" s="319">
        <v>90.527010150993036</v>
      </c>
      <c r="BE53" s="319">
        <v>90.428782358896669</v>
      </c>
      <c r="BF53" s="319">
        <v>90.324016089185349</v>
      </c>
      <c r="BG53" s="319">
        <v>90.212379191927553</v>
      </c>
      <c r="BH53" s="319">
        <v>90.09352559567985</v>
      </c>
      <c r="BI53" s="319">
        <v>89.967094899729133</v>
      </c>
      <c r="BJ53" s="319">
        <v>89.832711970393589</v>
      </c>
      <c r="BK53" s="319">
        <v>90.619018103795653</v>
      </c>
      <c r="BL53" s="319">
        <v>90.527010150993036</v>
      </c>
      <c r="BM53" s="320">
        <v>90.428782358896669</v>
      </c>
      <c r="BN53" s="318">
        <v>51.40241800432716</v>
      </c>
      <c r="BO53" s="319">
        <v>49.953591564033502</v>
      </c>
      <c r="BP53" s="319">
        <v>91.215318079594951</v>
      </c>
      <c r="BQ53" s="319">
        <v>91.16711768802179</v>
      </c>
      <c r="BR53" s="319">
        <v>91.115031740993416</v>
      </c>
      <c r="BS53" s="319">
        <v>91.05884546520268</v>
      </c>
      <c r="BT53" s="319">
        <v>90.998334152042631</v>
      </c>
      <c r="BU53" s="319">
        <v>90.933262784894339</v>
      </c>
      <c r="BV53" s="319">
        <v>90.863385659015989</v>
      </c>
      <c r="BW53" s="319">
        <v>90.788445994577771</v>
      </c>
      <c r="BX53" s="319">
        <v>90.619018103795653</v>
      </c>
      <c r="BY53" s="319">
        <v>90.527010150993036</v>
      </c>
      <c r="BZ53" s="319">
        <v>90.428782358896669</v>
      </c>
      <c r="CA53" s="319">
        <v>90.324016089185349</v>
      </c>
      <c r="CB53" s="319">
        <v>90.212379191927553</v>
      </c>
      <c r="CC53" s="319">
        <v>90.09352559567985</v>
      </c>
      <c r="CD53" s="319">
        <v>89.967094899729133</v>
      </c>
      <c r="CE53" s="319">
        <v>89.832711970393589</v>
      </c>
      <c r="CF53" s="319">
        <v>90.619018103795653</v>
      </c>
      <c r="CG53" s="320">
        <v>90.527010150993036</v>
      </c>
      <c r="CH53" s="318">
        <v>51.40241800432716</v>
      </c>
      <c r="CI53" s="319">
        <v>49.953591564033502</v>
      </c>
      <c r="CJ53" s="319">
        <v>48.495867367942857</v>
      </c>
      <c r="CK53" s="319">
        <v>91.215318079594951</v>
      </c>
      <c r="CL53" s="319">
        <v>91.16711768802179</v>
      </c>
      <c r="CM53" s="319">
        <v>91.115031740993416</v>
      </c>
      <c r="CN53" s="319">
        <v>91.05884546520268</v>
      </c>
      <c r="CO53" s="319">
        <v>90.998334152042631</v>
      </c>
      <c r="CP53" s="319">
        <v>90.933262784894339</v>
      </c>
      <c r="CQ53" s="319">
        <v>90.863385659015989</v>
      </c>
      <c r="CR53" s="319">
        <v>90.788445994577771</v>
      </c>
      <c r="CS53" s="319">
        <v>90.619018103795653</v>
      </c>
      <c r="CT53" s="319">
        <v>90.527010150993036</v>
      </c>
      <c r="CU53" s="319">
        <v>90.428782358896669</v>
      </c>
      <c r="CV53" s="319">
        <v>90.324016089185349</v>
      </c>
      <c r="CW53" s="319">
        <v>90.212379191927553</v>
      </c>
      <c r="CX53" s="319">
        <v>90.09352559567985</v>
      </c>
      <c r="CY53" s="319">
        <v>89.967094899729133</v>
      </c>
      <c r="CZ53" s="319">
        <v>89.832711970393589</v>
      </c>
      <c r="DA53" s="320">
        <v>90.619018103795653</v>
      </c>
      <c r="DB53" s="318">
        <v>51.40241800432716</v>
      </c>
      <c r="DC53" s="319">
        <v>49.953591564033502</v>
      </c>
      <c r="DD53" s="319">
        <v>48.495867367942857</v>
      </c>
      <c r="DE53" s="319">
        <v>47.034308926208602</v>
      </c>
      <c r="DF53" s="319">
        <v>91.215318079594951</v>
      </c>
      <c r="DG53" s="319">
        <v>91.16711768802179</v>
      </c>
      <c r="DH53" s="319">
        <v>91.115031740993416</v>
      </c>
      <c r="DI53" s="319">
        <v>91.05884546520268</v>
      </c>
      <c r="DJ53" s="319">
        <v>90.998334152042631</v>
      </c>
      <c r="DK53" s="319">
        <v>90.933262784894339</v>
      </c>
      <c r="DL53" s="319">
        <v>90.863385659015989</v>
      </c>
      <c r="DM53" s="319">
        <v>90.788445994577771</v>
      </c>
      <c r="DN53" s="319">
        <v>90.619018103795653</v>
      </c>
      <c r="DO53" s="319">
        <v>90.527010150993036</v>
      </c>
      <c r="DP53" s="319">
        <v>90.428782358896669</v>
      </c>
      <c r="DQ53" s="319">
        <v>90.324016089185349</v>
      </c>
      <c r="DR53" s="319">
        <v>90.212379191927553</v>
      </c>
      <c r="DS53" s="319">
        <v>90.09352559567985</v>
      </c>
      <c r="DT53" s="319">
        <v>89.967094899729133</v>
      </c>
      <c r="DU53" s="320">
        <v>89.832711970393589</v>
      </c>
      <c r="DV53" s="318">
        <v>51.40241800432716</v>
      </c>
      <c r="DW53" s="319">
        <v>49.953591564033502</v>
      </c>
      <c r="DX53" s="319">
        <v>48.495867367942857</v>
      </c>
      <c r="DY53" s="319">
        <v>47.034308926208602</v>
      </c>
      <c r="DZ53" s="319">
        <v>45.574674021662219</v>
      </c>
      <c r="EA53" s="319">
        <v>91.215318079594951</v>
      </c>
      <c r="EB53" s="319">
        <v>91.16711768802179</v>
      </c>
      <c r="EC53" s="319">
        <v>91.115031740993416</v>
      </c>
      <c r="ED53" s="319">
        <v>91.05884546520268</v>
      </c>
      <c r="EE53" s="319">
        <v>90.998334152042631</v>
      </c>
      <c r="EF53" s="319">
        <v>90.933262784894339</v>
      </c>
      <c r="EG53" s="319">
        <v>90.863385659015989</v>
      </c>
      <c r="EH53" s="319">
        <v>90.788445994577771</v>
      </c>
      <c r="EI53" s="319">
        <v>90.619018103795653</v>
      </c>
      <c r="EJ53" s="319">
        <v>90.527010150993036</v>
      </c>
      <c r="EK53" s="319">
        <v>90.428782358896669</v>
      </c>
      <c r="EL53" s="319">
        <v>90.324016089185349</v>
      </c>
      <c r="EM53" s="319">
        <v>90.212379191927553</v>
      </c>
      <c r="EN53" s="319">
        <v>90.09352559567985</v>
      </c>
      <c r="EO53" s="320">
        <v>89.967094899729133</v>
      </c>
      <c r="EP53" s="318"/>
      <c r="EQ53" s="319"/>
      <c r="ER53" s="319"/>
      <c r="ES53" s="319"/>
      <c r="ET53" s="319"/>
      <c r="EU53" s="319"/>
      <c r="EV53" s="319"/>
      <c r="EW53" s="319"/>
      <c r="EX53" s="319"/>
      <c r="EY53" s="319"/>
      <c r="EZ53" s="319"/>
      <c r="FA53" s="319"/>
      <c r="FB53" s="319"/>
      <c r="FC53" s="319"/>
      <c r="FD53" s="319"/>
      <c r="FE53" s="319"/>
      <c r="FF53" s="319"/>
      <c r="FG53" s="319"/>
      <c r="FH53" s="319"/>
      <c r="FI53" s="320"/>
      <c r="FJ53" s="318"/>
      <c r="FK53" s="319"/>
      <c r="FL53" s="319"/>
      <c r="FM53" s="319"/>
      <c r="FN53" s="319"/>
      <c r="FO53" s="319"/>
      <c r="FP53" s="319"/>
      <c r="FQ53" s="319"/>
      <c r="FR53" s="319"/>
      <c r="FS53" s="319"/>
      <c r="FT53" s="319"/>
      <c r="FU53" s="319"/>
      <c r="FV53" s="319"/>
      <c r="FW53" s="319"/>
      <c r="FX53" s="319"/>
      <c r="FY53" s="319"/>
      <c r="FZ53" s="319"/>
      <c r="GA53" s="319"/>
      <c r="GB53" s="319"/>
      <c r="GC53" s="320"/>
      <c r="GD53" s="318"/>
      <c r="GE53" s="319"/>
      <c r="GF53" s="319"/>
      <c r="GG53" s="319"/>
      <c r="GH53" s="319"/>
      <c r="GI53" s="319"/>
      <c r="GJ53" s="319"/>
      <c r="GK53" s="319"/>
      <c r="GL53" s="319"/>
      <c r="GM53" s="319"/>
      <c r="GN53" s="319"/>
      <c r="GO53" s="319"/>
      <c r="GP53" s="319"/>
      <c r="GQ53" s="319"/>
      <c r="GR53" s="319"/>
      <c r="GS53" s="319"/>
      <c r="GT53" s="319"/>
      <c r="GU53" s="319"/>
      <c r="GV53" s="319"/>
      <c r="GW53" s="320"/>
      <c r="GX53" s="318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J53" s="319"/>
      <c r="HK53" s="319"/>
      <c r="HL53" s="319"/>
      <c r="HM53" s="319"/>
      <c r="HN53" s="319"/>
      <c r="HO53" s="319"/>
      <c r="HP53" s="319"/>
      <c r="HQ53" s="320"/>
      <c r="HR53" s="318"/>
      <c r="HS53" s="319"/>
      <c r="HT53" s="319"/>
      <c r="HU53" s="319"/>
      <c r="HV53" s="319"/>
      <c r="HW53" s="319"/>
      <c r="HX53" s="319"/>
      <c r="HY53" s="319"/>
      <c r="HZ53" s="319"/>
      <c r="IA53" s="319"/>
      <c r="IB53" s="319"/>
      <c r="IC53" s="319"/>
      <c r="ID53" s="319"/>
      <c r="IE53" s="319"/>
      <c r="IF53" s="319"/>
      <c r="IG53" s="319"/>
      <c r="IH53" s="319"/>
      <c r="II53" s="319"/>
      <c r="IJ53" s="319"/>
      <c r="IK53" s="320"/>
      <c r="IL53" s="318"/>
      <c r="IM53" s="319"/>
      <c r="IN53" s="319"/>
      <c r="IO53" s="319"/>
      <c r="IP53" s="319"/>
      <c r="IQ53" s="319"/>
      <c r="IR53" s="319"/>
      <c r="IS53" s="319"/>
      <c r="IT53" s="319"/>
      <c r="IU53" s="319"/>
      <c r="IV53" s="319"/>
      <c r="IW53" s="319"/>
      <c r="IX53" s="319"/>
      <c r="IY53" s="319"/>
      <c r="IZ53" s="319"/>
      <c r="JA53" s="319"/>
      <c r="JB53" s="319"/>
      <c r="JC53" s="319"/>
      <c r="JD53" s="319"/>
      <c r="JE53" s="320"/>
    </row>
    <row r="54" spans="2:265" x14ac:dyDescent="0.25">
      <c r="B54" s="102"/>
      <c r="C54" s="26" t="s">
        <v>207</v>
      </c>
      <c r="D54" s="101" t="s">
        <v>202</v>
      </c>
      <c r="E54" s="101" t="s">
        <v>251</v>
      </c>
      <c r="F54" s="321">
        <v>0</v>
      </c>
      <c r="G54" s="322">
        <v>0</v>
      </c>
      <c r="H54" s="322">
        <v>0</v>
      </c>
      <c r="I54" s="322">
        <v>0</v>
      </c>
      <c r="J54" s="322">
        <v>0</v>
      </c>
      <c r="K54" s="322">
        <v>0</v>
      </c>
      <c r="L54" s="322">
        <v>0</v>
      </c>
      <c r="M54" s="322">
        <v>0</v>
      </c>
      <c r="N54" s="322">
        <v>0</v>
      </c>
      <c r="O54" s="322">
        <v>4.9980000000000002</v>
      </c>
      <c r="P54" s="322">
        <v>0</v>
      </c>
      <c r="Q54" s="322">
        <v>0</v>
      </c>
      <c r="R54" s="322">
        <v>0</v>
      </c>
      <c r="S54" s="322">
        <v>0</v>
      </c>
      <c r="T54" s="322">
        <v>0</v>
      </c>
      <c r="U54" s="322">
        <v>0</v>
      </c>
      <c r="V54" s="322">
        <v>0</v>
      </c>
      <c r="W54" s="322">
        <v>0</v>
      </c>
      <c r="X54" s="322">
        <v>0</v>
      </c>
      <c r="Y54" s="323">
        <v>0</v>
      </c>
      <c r="Z54" s="321">
        <v>4.9980000000000002</v>
      </c>
      <c r="AA54" s="322">
        <v>0</v>
      </c>
      <c r="AB54" s="322">
        <v>0</v>
      </c>
      <c r="AC54" s="322">
        <v>0</v>
      </c>
      <c r="AD54" s="322">
        <v>0</v>
      </c>
      <c r="AE54" s="322">
        <v>0</v>
      </c>
      <c r="AF54" s="322">
        <v>0</v>
      </c>
      <c r="AG54" s="322">
        <v>0</v>
      </c>
      <c r="AH54" s="322">
        <v>0</v>
      </c>
      <c r="AI54" s="322">
        <v>4.9980000000000002</v>
      </c>
      <c r="AJ54" s="322">
        <v>0</v>
      </c>
      <c r="AK54" s="322">
        <v>0</v>
      </c>
      <c r="AL54" s="322">
        <v>0</v>
      </c>
      <c r="AM54" s="322">
        <v>0</v>
      </c>
      <c r="AN54" s="322">
        <v>0</v>
      </c>
      <c r="AO54" s="322">
        <v>0</v>
      </c>
      <c r="AP54" s="322">
        <v>0</v>
      </c>
      <c r="AQ54" s="322">
        <v>0</v>
      </c>
      <c r="AR54" s="322">
        <v>0</v>
      </c>
      <c r="AS54" s="323">
        <v>0</v>
      </c>
      <c r="AT54" s="321">
        <v>0</v>
      </c>
      <c r="AU54" s="322">
        <v>4.9980000000000002</v>
      </c>
      <c r="AV54" s="322">
        <v>0</v>
      </c>
      <c r="AW54" s="322">
        <v>0</v>
      </c>
      <c r="AX54" s="322">
        <v>0</v>
      </c>
      <c r="AY54" s="322">
        <v>0</v>
      </c>
      <c r="AZ54" s="322">
        <v>0</v>
      </c>
      <c r="BA54" s="322">
        <v>0</v>
      </c>
      <c r="BB54" s="322">
        <v>0</v>
      </c>
      <c r="BC54" s="322">
        <v>0</v>
      </c>
      <c r="BD54" s="322">
        <v>0</v>
      </c>
      <c r="BE54" s="322">
        <v>0</v>
      </c>
      <c r="BF54" s="322">
        <v>0</v>
      </c>
      <c r="BG54" s="322">
        <v>0</v>
      </c>
      <c r="BH54" s="322">
        <v>0</v>
      </c>
      <c r="BI54" s="322">
        <v>0</v>
      </c>
      <c r="BJ54" s="322">
        <v>0</v>
      </c>
      <c r="BK54" s="322">
        <v>0</v>
      </c>
      <c r="BL54" s="322">
        <v>0</v>
      </c>
      <c r="BM54" s="323">
        <v>0</v>
      </c>
      <c r="BN54" s="321">
        <v>0</v>
      </c>
      <c r="BO54" s="322">
        <v>0</v>
      </c>
      <c r="BP54" s="322">
        <v>4.9980000000000002</v>
      </c>
      <c r="BQ54" s="322">
        <v>0</v>
      </c>
      <c r="BR54" s="322">
        <v>0</v>
      </c>
      <c r="BS54" s="322">
        <v>0</v>
      </c>
      <c r="BT54" s="322">
        <v>0</v>
      </c>
      <c r="BU54" s="322">
        <v>0</v>
      </c>
      <c r="BV54" s="322">
        <v>0</v>
      </c>
      <c r="BW54" s="322">
        <v>0</v>
      </c>
      <c r="BX54" s="322">
        <v>0</v>
      </c>
      <c r="BY54" s="322">
        <v>0</v>
      </c>
      <c r="BZ54" s="322">
        <v>0</v>
      </c>
      <c r="CA54" s="322">
        <v>0</v>
      </c>
      <c r="CB54" s="322">
        <v>0</v>
      </c>
      <c r="CC54" s="322">
        <v>0</v>
      </c>
      <c r="CD54" s="322">
        <v>0</v>
      </c>
      <c r="CE54" s="322">
        <v>0</v>
      </c>
      <c r="CF54" s="322">
        <v>0</v>
      </c>
      <c r="CG54" s="323">
        <v>0</v>
      </c>
      <c r="CH54" s="321">
        <v>0</v>
      </c>
      <c r="CI54" s="322">
        <v>0</v>
      </c>
      <c r="CJ54" s="322">
        <v>0</v>
      </c>
      <c r="CK54" s="322">
        <v>4.9980000000000002</v>
      </c>
      <c r="CL54" s="322">
        <v>0</v>
      </c>
      <c r="CM54" s="322">
        <v>0</v>
      </c>
      <c r="CN54" s="322">
        <v>0</v>
      </c>
      <c r="CO54" s="322">
        <v>0</v>
      </c>
      <c r="CP54" s="322">
        <v>0</v>
      </c>
      <c r="CQ54" s="322">
        <v>0</v>
      </c>
      <c r="CR54" s="322">
        <v>0</v>
      </c>
      <c r="CS54" s="322">
        <v>0</v>
      </c>
      <c r="CT54" s="322">
        <v>0</v>
      </c>
      <c r="CU54" s="322">
        <v>0</v>
      </c>
      <c r="CV54" s="322">
        <v>0</v>
      </c>
      <c r="CW54" s="322">
        <v>0</v>
      </c>
      <c r="CX54" s="322">
        <v>0</v>
      </c>
      <c r="CY54" s="322">
        <v>0</v>
      </c>
      <c r="CZ54" s="322">
        <v>0</v>
      </c>
      <c r="DA54" s="323">
        <v>0</v>
      </c>
      <c r="DB54" s="321">
        <v>0</v>
      </c>
      <c r="DC54" s="322">
        <v>0</v>
      </c>
      <c r="DD54" s="322">
        <v>0</v>
      </c>
      <c r="DE54" s="322">
        <v>0</v>
      </c>
      <c r="DF54" s="322">
        <v>4.9980000000000002</v>
      </c>
      <c r="DG54" s="322">
        <v>0</v>
      </c>
      <c r="DH54" s="322">
        <v>0</v>
      </c>
      <c r="DI54" s="322">
        <v>0</v>
      </c>
      <c r="DJ54" s="322">
        <v>0</v>
      </c>
      <c r="DK54" s="322">
        <v>0</v>
      </c>
      <c r="DL54" s="322">
        <v>0</v>
      </c>
      <c r="DM54" s="322">
        <v>0</v>
      </c>
      <c r="DN54" s="322">
        <v>0</v>
      </c>
      <c r="DO54" s="322">
        <v>0</v>
      </c>
      <c r="DP54" s="322">
        <v>0</v>
      </c>
      <c r="DQ54" s="322">
        <v>0</v>
      </c>
      <c r="DR54" s="322">
        <v>0</v>
      </c>
      <c r="DS54" s="322">
        <v>0</v>
      </c>
      <c r="DT54" s="322">
        <v>0</v>
      </c>
      <c r="DU54" s="323">
        <v>0</v>
      </c>
      <c r="DV54" s="321">
        <v>0</v>
      </c>
      <c r="DW54" s="322">
        <v>0</v>
      </c>
      <c r="DX54" s="322">
        <v>0</v>
      </c>
      <c r="DY54" s="322">
        <v>0</v>
      </c>
      <c r="DZ54" s="322">
        <v>0</v>
      </c>
      <c r="EA54" s="322">
        <v>4.9980000000000002</v>
      </c>
      <c r="EB54" s="322">
        <v>0</v>
      </c>
      <c r="EC54" s="322">
        <v>0</v>
      </c>
      <c r="ED54" s="322">
        <v>0</v>
      </c>
      <c r="EE54" s="322">
        <v>0</v>
      </c>
      <c r="EF54" s="322">
        <v>0</v>
      </c>
      <c r="EG54" s="322">
        <v>0</v>
      </c>
      <c r="EH54" s="322">
        <v>0</v>
      </c>
      <c r="EI54" s="322">
        <v>0</v>
      </c>
      <c r="EJ54" s="322">
        <v>0</v>
      </c>
      <c r="EK54" s="322">
        <v>0</v>
      </c>
      <c r="EL54" s="322">
        <v>0</v>
      </c>
      <c r="EM54" s="322">
        <v>0</v>
      </c>
      <c r="EN54" s="322">
        <v>0</v>
      </c>
      <c r="EO54" s="323">
        <v>0</v>
      </c>
      <c r="EP54" s="321"/>
      <c r="EQ54" s="322"/>
      <c r="ER54" s="322"/>
      <c r="ES54" s="322"/>
      <c r="ET54" s="322"/>
      <c r="EU54" s="322"/>
      <c r="EV54" s="322"/>
      <c r="EW54" s="322"/>
      <c r="EX54" s="322"/>
      <c r="EY54" s="322"/>
      <c r="EZ54" s="322"/>
      <c r="FA54" s="322"/>
      <c r="FB54" s="322"/>
      <c r="FC54" s="322"/>
      <c r="FD54" s="322"/>
      <c r="FE54" s="322"/>
      <c r="FF54" s="322"/>
      <c r="FG54" s="322"/>
      <c r="FH54" s="322"/>
      <c r="FI54" s="323"/>
      <c r="FJ54" s="321"/>
      <c r="FK54" s="322"/>
      <c r="FL54" s="322"/>
      <c r="FM54" s="322"/>
      <c r="FN54" s="322"/>
      <c r="FO54" s="322"/>
      <c r="FP54" s="322"/>
      <c r="FQ54" s="322"/>
      <c r="FR54" s="322"/>
      <c r="FS54" s="322"/>
      <c r="FT54" s="322"/>
      <c r="FU54" s="322"/>
      <c r="FV54" s="322"/>
      <c r="FW54" s="322"/>
      <c r="FX54" s="322"/>
      <c r="FY54" s="322"/>
      <c r="FZ54" s="322"/>
      <c r="GA54" s="322"/>
      <c r="GB54" s="322"/>
      <c r="GC54" s="323"/>
      <c r="GD54" s="321"/>
      <c r="GE54" s="322"/>
      <c r="GF54" s="322"/>
      <c r="GG54" s="322"/>
      <c r="GH54" s="322"/>
      <c r="GI54" s="322"/>
      <c r="GJ54" s="322"/>
      <c r="GK54" s="322"/>
      <c r="GL54" s="322"/>
      <c r="GM54" s="322"/>
      <c r="GN54" s="322"/>
      <c r="GO54" s="322"/>
      <c r="GP54" s="322"/>
      <c r="GQ54" s="322"/>
      <c r="GR54" s="322"/>
      <c r="GS54" s="322"/>
      <c r="GT54" s="322"/>
      <c r="GU54" s="322"/>
      <c r="GV54" s="322"/>
      <c r="GW54" s="323"/>
      <c r="GX54" s="321"/>
      <c r="GY54" s="322"/>
      <c r="GZ54" s="322"/>
      <c r="HA54" s="322"/>
      <c r="HB54" s="322"/>
      <c r="HC54" s="322"/>
      <c r="HD54" s="322"/>
      <c r="HE54" s="322"/>
      <c r="HF54" s="322"/>
      <c r="HG54" s="322"/>
      <c r="HH54" s="322"/>
      <c r="HI54" s="322"/>
      <c r="HJ54" s="322"/>
      <c r="HK54" s="322"/>
      <c r="HL54" s="322"/>
      <c r="HM54" s="322"/>
      <c r="HN54" s="322"/>
      <c r="HO54" s="322"/>
      <c r="HP54" s="322"/>
      <c r="HQ54" s="323"/>
      <c r="HR54" s="321"/>
      <c r="HS54" s="322"/>
      <c r="HT54" s="322"/>
      <c r="HU54" s="322"/>
      <c r="HV54" s="322"/>
      <c r="HW54" s="322"/>
      <c r="HX54" s="322"/>
      <c r="HY54" s="322"/>
      <c r="HZ54" s="322"/>
      <c r="IA54" s="322"/>
      <c r="IB54" s="322"/>
      <c r="IC54" s="322"/>
      <c r="ID54" s="322"/>
      <c r="IE54" s="322"/>
      <c r="IF54" s="322"/>
      <c r="IG54" s="322"/>
      <c r="IH54" s="322"/>
      <c r="II54" s="322"/>
      <c r="IJ54" s="322"/>
      <c r="IK54" s="323"/>
      <c r="IL54" s="321"/>
      <c r="IM54" s="322"/>
      <c r="IN54" s="322"/>
      <c r="IO54" s="322"/>
      <c r="IP54" s="322"/>
      <c r="IQ54" s="322"/>
      <c r="IR54" s="322"/>
      <c r="IS54" s="322"/>
      <c r="IT54" s="322"/>
      <c r="IU54" s="322"/>
      <c r="IV54" s="322"/>
      <c r="IW54" s="322"/>
      <c r="IX54" s="322"/>
      <c r="IY54" s="322"/>
      <c r="IZ54" s="322"/>
      <c r="JA54" s="322"/>
      <c r="JB54" s="322"/>
      <c r="JC54" s="322"/>
      <c r="JD54" s="322"/>
      <c r="JE54" s="323"/>
    </row>
    <row r="55" spans="2:265" x14ac:dyDescent="0.25">
      <c r="B55" s="102"/>
      <c r="C55" s="40" t="s">
        <v>206</v>
      </c>
      <c r="D55" s="102" t="s">
        <v>321</v>
      </c>
      <c r="E55" s="102" t="s">
        <v>251</v>
      </c>
      <c r="F55" s="324">
        <v>0</v>
      </c>
      <c r="G55" s="325">
        <v>0</v>
      </c>
      <c r="H55" s="325">
        <v>0</v>
      </c>
      <c r="I55" s="325">
        <v>0</v>
      </c>
      <c r="J55" s="325">
        <v>0</v>
      </c>
      <c r="K55" s="325">
        <v>0</v>
      </c>
      <c r="L55" s="325">
        <v>0</v>
      </c>
      <c r="M55" s="325">
        <v>0</v>
      </c>
      <c r="N55" s="325">
        <v>0</v>
      </c>
      <c r="O55" s="325">
        <v>0</v>
      </c>
      <c r="P55" s="325">
        <v>0</v>
      </c>
      <c r="Q55" s="325">
        <v>0</v>
      </c>
      <c r="R55" s="325">
        <v>0</v>
      </c>
      <c r="S55" s="325">
        <v>0.20300000000000001</v>
      </c>
      <c r="T55" s="325">
        <v>0</v>
      </c>
      <c r="U55" s="325">
        <v>0</v>
      </c>
      <c r="V55" s="325">
        <v>0</v>
      </c>
      <c r="W55" s="325">
        <v>0.66500000000000004</v>
      </c>
      <c r="X55" s="325">
        <v>0</v>
      </c>
      <c r="Y55" s="326">
        <v>0</v>
      </c>
      <c r="Z55" s="324">
        <v>0</v>
      </c>
      <c r="AA55" s="325">
        <v>0</v>
      </c>
      <c r="AB55" s="325">
        <v>0</v>
      </c>
      <c r="AC55" s="325">
        <v>0</v>
      </c>
      <c r="AD55" s="325">
        <v>0.20300000000000001</v>
      </c>
      <c r="AE55" s="325">
        <v>0</v>
      </c>
      <c r="AF55" s="325">
        <v>0</v>
      </c>
      <c r="AG55" s="325">
        <v>0</v>
      </c>
      <c r="AH55" s="325">
        <v>0.66500000000000004</v>
      </c>
      <c r="AI55" s="325">
        <v>0</v>
      </c>
      <c r="AJ55" s="325">
        <v>0</v>
      </c>
      <c r="AK55" s="325">
        <v>0</v>
      </c>
      <c r="AL55" s="325">
        <v>0.20300000000000001</v>
      </c>
      <c r="AM55" s="325">
        <v>0.20300000000000001</v>
      </c>
      <c r="AN55" s="325">
        <v>0</v>
      </c>
      <c r="AO55" s="325">
        <v>0</v>
      </c>
      <c r="AP55" s="325">
        <v>0.66500000000000004</v>
      </c>
      <c r="AQ55" s="325">
        <v>0.66500000000000004</v>
      </c>
      <c r="AR55" s="325">
        <v>0</v>
      </c>
      <c r="AS55" s="326">
        <v>0</v>
      </c>
      <c r="AT55" s="324">
        <v>0</v>
      </c>
      <c r="AU55" s="325">
        <v>0</v>
      </c>
      <c r="AV55" s="325">
        <v>0</v>
      </c>
      <c r="AW55" s="325">
        <v>0</v>
      </c>
      <c r="AX55" s="325">
        <v>0</v>
      </c>
      <c r="AY55" s="325">
        <v>0.20300000000000001</v>
      </c>
      <c r="AZ55" s="325">
        <v>0</v>
      </c>
      <c r="BA55" s="325">
        <v>0</v>
      </c>
      <c r="BB55" s="325">
        <v>0</v>
      </c>
      <c r="BC55" s="325">
        <v>0.66500000000000004</v>
      </c>
      <c r="BD55" s="325">
        <v>0</v>
      </c>
      <c r="BE55" s="325">
        <v>0</v>
      </c>
      <c r="BF55" s="325">
        <v>0</v>
      </c>
      <c r="BG55" s="325">
        <v>0.20300000000000001</v>
      </c>
      <c r="BH55" s="325">
        <v>0</v>
      </c>
      <c r="BI55" s="325">
        <v>0</v>
      </c>
      <c r="BJ55" s="325">
        <v>0</v>
      </c>
      <c r="BK55" s="325">
        <v>0.66500000000000004</v>
      </c>
      <c r="BL55" s="325">
        <v>0</v>
      </c>
      <c r="BM55" s="326">
        <v>0</v>
      </c>
      <c r="BN55" s="324">
        <v>0</v>
      </c>
      <c r="BO55" s="325">
        <v>0</v>
      </c>
      <c r="BP55" s="325">
        <v>0</v>
      </c>
      <c r="BQ55" s="325">
        <v>0</v>
      </c>
      <c r="BR55" s="325">
        <v>0</v>
      </c>
      <c r="BS55" s="325">
        <v>0</v>
      </c>
      <c r="BT55" s="325">
        <v>0.20300000000000001</v>
      </c>
      <c r="BU55" s="325">
        <v>0</v>
      </c>
      <c r="BV55" s="325">
        <v>0</v>
      </c>
      <c r="BW55" s="325">
        <v>0</v>
      </c>
      <c r="BX55" s="325">
        <v>0.66500000000000004</v>
      </c>
      <c r="BY55" s="325">
        <v>0</v>
      </c>
      <c r="BZ55" s="325">
        <v>0</v>
      </c>
      <c r="CA55" s="325">
        <v>0</v>
      </c>
      <c r="CB55" s="325">
        <v>0.20300000000000001</v>
      </c>
      <c r="CC55" s="325">
        <v>0</v>
      </c>
      <c r="CD55" s="325">
        <v>0</v>
      </c>
      <c r="CE55" s="325">
        <v>0</v>
      </c>
      <c r="CF55" s="325">
        <v>0.66500000000000004</v>
      </c>
      <c r="CG55" s="326">
        <v>0</v>
      </c>
      <c r="CH55" s="324">
        <v>0</v>
      </c>
      <c r="CI55" s="325">
        <v>0</v>
      </c>
      <c r="CJ55" s="325">
        <v>0</v>
      </c>
      <c r="CK55" s="325">
        <v>0</v>
      </c>
      <c r="CL55" s="325">
        <v>0</v>
      </c>
      <c r="CM55" s="325">
        <v>0</v>
      </c>
      <c r="CN55" s="325">
        <v>0</v>
      </c>
      <c r="CO55" s="325">
        <v>0.20300000000000001</v>
      </c>
      <c r="CP55" s="325">
        <v>0</v>
      </c>
      <c r="CQ55" s="325">
        <v>0</v>
      </c>
      <c r="CR55" s="325">
        <v>0</v>
      </c>
      <c r="CS55" s="325">
        <v>0.66500000000000004</v>
      </c>
      <c r="CT55" s="325">
        <v>0</v>
      </c>
      <c r="CU55" s="325">
        <v>0</v>
      </c>
      <c r="CV55" s="325">
        <v>0</v>
      </c>
      <c r="CW55" s="325">
        <v>0.20300000000000001</v>
      </c>
      <c r="CX55" s="325">
        <v>0</v>
      </c>
      <c r="CY55" s="325">
        <v>0</v>
      </c>
      <c r="CZ55" s="325">
        <v>0</v>
      </c>
      <c r="DA55" s="326">
        <v>0.66500000000000004</v>
      </c>
      <c r="DB55" s="324">
        <v>0</v>
      </c>
      <c r="DC55" s="325">
        <v>0</v>
      </c>
      <c r="DD55" s="325">
        <v>0</v>
      </c>
      <c r="DE55" s="325">
        <v>0</v>
      </c>
      <c r="DF55" s="325">
        <v>0</v>
      </c>
      <c r="DG55" s="325">
        <v>0</v>
      </c>
      <c r="DH55" s="325">
        <v>0</v>
      </c>
      <c r="DI55" s="325">
        <v>0</v>
      </c>
      <c r="DJ55" s="325">
        <v>0.20300000000000001</v>
      </c>
      <c r="DK55" s="325">
        <v>0</v>
      </c>
      <c r="DL55" s="325">
        <v>0</v>
      </c>
      <c r="DM55" s="325">
        <v>0</v>
      </c>
      <c r="DN55" s="325">
        <v>0.66500000000000004</v>
      </c>
      <c r="DO55" s="325">
        <v>0</v>
      </c>
      <c r="DP55" s="325">
        <v>0</v>
      </c>
      <c r="DQ55" s="325">
        <v>0</v>
      </c>
      <c r="DR55" s="325">
        <v>0.20300000000000001</v>
      </c>
      <c r="DS55" s="325">
        <v>0</v>
      </c>
      <c r="DT55" s="325">
        <v>0</v>
      </c>
      <c r="DU55" s="326">
        <v>0</v>
      </c>
      <c r="DV55" s="324">
        <v>0</v>
      </c>
      <c r="DW55" s="325">
        <v>0</v>
      </c>
      <c r="DX55" s="325">
        <v>0</v>
      </c>
      <c r="DY55" s="325">
        <v>0</v>
      </c>
      <c r="DZ55" s="325">
        <v>0</v>
      </c>
      <c r="EA55" s="325">
        <v>0</v>
      </c>
      <c r="EB55" s="325">
        <v>0</v>
      </c>
      <c r="EC55" s="325">
        <v>0</v>
      </c>
      <c r="ED55" s="325">
        <v>0</v>
      </c>
      <c r="EE55" s="325">
        <v>0.20300000000000001</v>
      </c>
      <c r="EF55" s="325">
        <v>0</v>
      </c>
      <c r="EG55" s="325">
        <v>0</v>
      </c>
      <c r="EH55" s="325">
        <v>0</v>
      </c>
      <c r="EI55" s="325">
        <v>0.66500000000000004</v>
      </c>
      <c r="EJ55" s="325">
        <v>0</v>
      </c>
      <c r="EK55" s="325">
        <v>0</v>
      </c>
      <c r="EL55" s="325">
        <v>0</v>
      </c>
      <c r="EM55" s="325">
        <v>0.20300000000000001</v>
      </c>
      <c r="EN55" s="325">
        <v>0</v>
      </c>
      <c r="EO55" s="326">
        <v>0</v>
      </c>
      <c r="EP55" s="324"/>
      <c r="EQ55" s="325"/>
      <c r="ER55" s="325"/>
      <c r="ES55" s="325"/>
      <c r="ET55" s="325"/>
      <c r="EU55" s="325"/>
      <c r="EV55" s="325"/>
      <c r="EW55" s="325"/>
      <c r="EX55" s="325"/>
      <c r="EY55" s="325"/>
      <c r="EZ55" s="325"/>
      <c r="FA55" s="325"/>
      <c r="FB55" s="325"/>
      <c r="FC55" s="325"/>
      <c r="FD55" s="325"/>
      <c r="FE55" s="325"/>
      <c r="FF55" s="325"/>
      <c r="FG55" s="325"/>
      <c r="FH55" s="325"/>
      <c r="FI55" s="326"/>
      <c r="FJ55" s="324"/>
      <c r="FK55" s="325"/>
      <c r="FL55" s="325"/>
      <c r="FM55" s="325"/>
      <c r="FN55" s="325"/>
      <c r="FO55" s="325"/>
      <c r="FP55" s="325"/>
      <c r="FQ55" s="325"/>
      <c r="FR55" s="325"/>
      <c r="FS55" s="325"/>
      <c r="FT55" s="325"/>
      <c r="FU55" s="325"/>
      <c r="FV55" s="325"/>
      <c r="FW55" s="325"/>
      <c r="FX55" s="325"/>
      <c r="FY55" s="325"/>
      <c r="FZ55" s="325"/>
      <c r="GA55" s="325"/>
      <c r="GB55" s="325"/>
      <c r="GC55" s="326"/>
      <c r="GD55" s="324"/>
      <c r="GE55" s="325"/>
      <c r="GF55" s="325"/>
      <c r="GG55" s="325"/>
      <c r="GH55" s="325"/>
      <c r="GI55" s="325"/>
      <c r="GJ55" s="325"/>
      <c r="GK55" s="325"/>
      <c r="GL55" s="325"/>
      <c r="GM55" s="325"/>
      <c r="GN55" s="325"/>
      <c r="GO55" s="325"/>
      <c r="GP55" s="325"/>
      <c r="GQ55" s="325"/>
      <c r="GR55" s="325"/>
      <c r="GS55" s="325"/>
      <c r="GT55" s="325"/>
      <c r="GU55" s="325"/>
      <c r="GV55" s="325"/>
      <c r="GW55" s="326"/>
      <c r="GX55" s="324"/>
      <c r="GY55" s="325"/>
      <c r="GZ55" s="325"/>
      <c r="HA55" s="325"/>
      <c r="HB55" s="325"/>
      <c r="HC55" s="325"/>
      <c r="HD55" s="325"/>
      <c r="HE55" s="325"/>
      <c r="HF55" s="325"/>
      <c r="HG55" s="325"/>
      <c r="HH55" s="325"/>
      <c r="HI55" s="325"/>
      <c r="HJ55" s="325"/>
      <c r="HK55" s="325"/>
      <c r="HL55" s="325"/>
      <c r="HM55" s="325"/>
      <c r="HN55" s="325"/>
      <c r="HO55" s="325"/>
      <c r="HP55" s="325"/>
      <c r="HQ55" s="326"/>
      <c r="HR55" s="324"/>
      <c r="HS55" s="325"/>
      <c r="HT55" s="325"/>
      <c r="HU55" s="325"/>
      <c r="HV55" s="325"/>
      <c r="HW55" s="325"/>
      <c r="HX55" s="325"/>
      <c r="HY55" s="325"/>
      <c r="HZ55" s="325"/>
      <c r="IA55" s="325"/>
      <c r="IB55" s="325"/>
      <c r="IC55" s="325"/>
      <c r="ID55" s="325"/>
      <c r="IE55" s="325"/>
      <c r="IF55" s="325"/>
      <c r="IG55" s="325"/>
      <c r="IH55" s="325"/>
      <c r="II55" s="325"/>
      <c r="IJ55" s="325"/>
      <c r="IK55" s="326"/>
      <c r="IL55" s="324"/>
      <c r="IM55" s="325"/>
      <c r="IN55" s="325"/>
      <c r="IO55" s="325"/>
      <c r="IP55" s="325"/>
      <c r="IQ55" s="325"/>
      <c r="IR55" s="325"/>
      <c r="IS55" s="325"/>
      <c r="IT55" s="325"/>
      <c r="IU55" s="325"/>
      <c r="IV55" s="325"/>
      <c r="IW55" s="325"/>
      <c r="IX55" s="325"/>
      <c r="IY55" s="325"/>
      <c r="IZ55" s="325"/>
      <c r="JA55" s="325"/>
      <c r="JB55" s="325"/>
      <c r="JC55" s="325"/>
      <c r="JD55" s="325"/>
      <c r="JE55" s="326"/>
    </row>
    <row r="56" spans="2:265" x14ac:dyDescent="0.25">
      <c r="B56" s="102"/>
      <c r="C56" s="40" t="s">
        <v>205</v>
      </c>
      <c r="D56" s="102" t="s">
        <v>203</v>
      </c>
      <c r="E56" s="102" t="s">
        <v>251</v>
      </c>
      <c r="F56" s="324">
        <v>0.04</v>
      </c>
      <c r="G56" s="325">
        <v>0.04</v>
      </c>
      <c r="H56" s="325">
        <v>0.04</v>
      </c>
      <c r="I56" s="325">
        <v>0.04</v>
      </c>
      <c r="J56" s="325">
        <v>0.04</v>
      </c>
      <c r="K56" s="325">
        <v>0.04</v>
      </c>
      <c r="L56" s="325">
        <v>0.04</v>
      </c>
      <c r="M56" s="325">
        <v>0.04</v>
      </c>
      <c r="N56" s="325">
        <v>0.04</v>
      </c>
      <c r="O56" s="325">
        <v>0.04</v>
      </c>
      <c r="P56" s="325">
        <v>0.04</v>
      </c>
      <c r="Q56" s="325">
        <v>0.04</v>
      </c>
      <c r="R56" s="325">
        <v>0.04</v>
      </c>
      <c r="S56" s="325">
        <v>0.04</v>
      </c>
      <c r="T56" s="325">
        <v>0.04</v>
      </c>
      <c r="U56" s="325">
        <v>0.04</v>
      </c>
      <c r="V56" s="325">
        <v>0.04</v>
      </c>
      <c r="W56" s="325">
        <v>0.04</v>
      </c>
      <c r="X56" s="325">
        <v>0.04</v>
      </c>
      <c r="Y56" s="326">
        <v>0.04</v>
      </c>
      <c r="Z56" s="324">
        <v>0.04</v>
      </c>
      <c r="AA56" s="325">
        <v>0.04</v>
      </c>
      <c r="AB56" s="325">
        <v>0.04</v>
      </c>
      <c r="AC56" s="325">
        <v>0.04</v>
      </c>
      <c r="AD56" s="325">
        <v>0.04</v>
      </c>
      <c r="AE56" s="325">
        <v>0.04</v>
      </c>
      <c r="AF56" s="325">
        <v>0.04</v>
      </c>
      <c r="AG56" s="325">
        <v>0.04</v>
      </c>
      <c r="AH56" s="325">
        <v>0.04</v>
      </c>
      <c r="AI56" s="325">
        <v>0.04</v>
      </c>
      <c r="AJ56" s="325">
        <v>0.04</v>
      </c>
      <c r="AK56" s="325">
        <v>0.04</v>
      </c>
      <c r="AL56" s="325">
        <v>0.04</v>
      </c>
      <c r="AM56" s="325">
        <v>0.04</v>
      </c>
      <c r="AN56" s="325">
        <v>0.04</v>
      </c>
      <c r="AO56" s="325">
        <v>0.04</v>
      </c>
      <c r="AP56" s="325">
        <v>0.04</v>
      </c>
      <c r="AQ56" s="325">
        <v>0.04</v>
      </c>
      <c r="AR56" s="325">
        <v>0.04</v>
      </c>
      <c r="AS56" s="326">
        <v>0.04</v>
      </c>
      <c r="AT56" s="324">
        <v>0.04</v>
      </c>
      <c r="AU56" s="325">
        <v>0.04</v>
      </c>
      <c r="AV56" s="325">
        <v>0.04</v>
      </c>
      <c r="AW56" s="325">
        <v>0.04</v>
      </c>
      <c r="AX56" s="325">
        <v>0.04</v>
      </c>
      <c r="AY56" s="325">
        <v>0.04</v>
      </c>
      <c r="AZ56" s="325">
        <v>0.04</v>
      </c>
      <c r="BA56" s="325">
        <v>0.04</v>
      </c>
      <c r="BB56" s="325">
        <v>0.04</v>
      </c>
      <c r="BC56" s="325">
        <v>0.04</v>
      </c>
      <c r="BD56" s="325">
        <v>0.04</v>
      </c>
      <c r="BE56" s="325">
        <v>0.04</v>
      </c>
      <c r="BF56" s="325">
        <v>0.04</v>
      </c>
      <c r="BG56" s="325">
        <v>0.04</v>
      </c>
      <c r="BH56" s="325">
        <v>0.04</v>
      </c>
      <c r="BI56" s="325">
        <v>0.04</v>
      </c>
      <c r="BJ56" s="325">
        <v>0.04</v>
      </c>
      <c r="BK56" s="325">
        <v>0.04</v>
      </c>
      <c r="BL56" s="325">
        <v>0.04</v>
      </c>
      <c r="BM56" s="326">
        <v>0.04</v>
      </c>
      <c r="BN56" s="324">
        <v>0.04</v>
      </c>
      <c r="BO56" s="325">
        <v>0.04</v>
      </c>
      <c r="BP56" s="325">
        <v>0.04</v>
      </c>
      <c r="BQ56" s="325">
        <v>0.04</v>
      </c>
      <c r="BR56" s="325">
        <v>0.04</v>
      </c>
      <c r="BS56" s="325">
        <v>0.04</v>
      </c>
      <c r="BT56" s="325">
        <v>0.04</v>
      </c>
      <c r="BU56" s="325">
        <v>0.04</v>
      </c>
      <c r="BV56" s="325">
        <v>0.04</v>
      </c>
      <c r="BW56" s="325">
        <v>0.04</v>
      </c>
      <c r="BX56" s="325">
        <v>0.04</v>
      </c>
      <c r="BY56" s="325">
        <v>0.04</v>
      </c>
      <c r="BZ56" s="325">
        <v>0.04</v>
      </c>
      <c r="CA56" s="325">
        <v>0.04</v>
      </c>
      <c r="CB56" s="325">
        <v>0.04</v>
      </c>
      <c r="CC56" s="325">
        <v>0.04</v>
      </c>
      <c r="CD56" s="325">
        <v>0.04</v>
      </c>
      <c r="CE56" s="325">
        <v>0.04</v>
      </c>
      <c r="CF56" s="325">
        <v>0.04</v>
      </c>
      <c r="CG56" s="326">
        <v>0.04</v>
      </c>
      <c r="CH56" s="324">
        <v>0.04</v>
      </c>
      <c r="CI56" s="325">
        <v>0.04</v>
      </c>
      <c r="CJ56" s="325">
        <v>0.04</v>
      </c>
      <c r="CK56" s="325">
        <v>0.04</v>
      </c>
      <c r="CL56" s="325">
        <v>0.04</v>
      </c>
      <c r="CM56" s="325">
        <v>0.04</v>
      </c>
      <c r="CN56" s="325">
        <v>0.04</v>
      </c>
      <c r="CO56" s="325">
        <v>0.04</v>
      </c>
      <c r="CP56" s="325">
        <v>0.04</v>
      </c>
      <c r="CQ56" s="325">
        <v>0.04</v>
      </c>
      <c r="CR56" s="325">
        <v>0.04</v>
      </c>
      <c r="CS56" s="325">
        <v>0.04</v>
      </c>
      <c r="CT56" s="325">
        <v>0.04</v>
      </c>
      <c r="CU56" s="325">
        <v>0.04</v>
      </c>
      <c r="CV56" s="325">
        <v>0.04</v>
      </c>
      <c r="CW56" s="325">
        <v>0.04</v>
      </c>
      <c r="CX56" s="325">
        <v>0.04</v>
      </c>
      <c r="CY56" s="325">
        <v>0.04</v>
      </c>
      <c r="CZ56" s="325">
        <v>0.04</v>
      </c>
      <c r="DA56" s="326">
        <v>0.04</v>
      </c>
      <c r="DB56" s="324">
        <v>0.04</v>
      </c>
      <c r="DC56" s="325">
        <v>0.04</v>
      </c>
      <c r="DD56" s="325">
        <v>0.04</v>
      </c>
      <c r="DE56" s="325">
        <v>0.04</v>
      </c>
      <c r="DF56" s="325">
        <v>0.04</v>
      </c>
      <c r="DG56" s="325">
        <v>0.04</v>
      </c>
      <c r="DH56" s="325">
        <v>0.04</v>
      </c>
      <c r="DI56" s="325">
        <v>0.04</v>
      </c>
      <c r="DJ56" s="325">
        <v>0.04</v>
      </c>
      <c r="DK56" s="325">
        <v>0.04</v>
      </c>
      <c r="DL56" s="325">
        <v>0.04</v>
      </c>
      <c r="DM56" s="325">
        <v>0.04</v>
      </c>
      <c r="DN56" s="325">
        <v>0.04</v>
      </c>
      <c r="DO56" s="325">
        <v>0.04</v>
      </c>
      <c r="DP56" s="325">
        <v>0.04</v>
      </c>
      <c r="DQ56" s="325">
        <v>0.04</v>
      </c>
      <c r="DR56" s="325">
        <v>0.04</v>
      </c>
      <c r="DS56" s="325">
        <v>0.04</v>
      </c>
      <c r="DT56" s="325">
        <v>0.04</v>
      </c>
      <c r="DU56" s="326">
        <v>0.04</v>
      </c>
      <c r="DV56" s="324">
        <v>0.04</v>
      </c>
      <c r="DW56" s="325">
        <v>0.04</v>
      </c>
      <c r="DX56" s="325">
        <v>0.04</v>
      </c>
      <c r="DY56" s="325">
        <v>0.04</v>
      </c>
      <c r="DZ56" s="325">
        <v>0.04</v>
      </c>
      <c r="EA56" s="325">
        <v>0.04</v>
      </c>
      <c r="EB56" s="325">
        <v>0.04</v>
      </c>
      <c r="EC56" s="325">
        <v>0.04</v>
      </c>
      <c r="ED56" s="325">
        <v>0.04</v>
      </c>
      <c r="EE56" s="325">
        <v>0.04</v>
      </c>
      <c r="EF56" s="325">
        <v>0.04</v>
      </c>
      <c r="EG56" s="325">
        <v>0.04</v>
      </c>
      <c r="EH56" s="325">
        <v>0.04</v>
      </c>
      <c r="EI56" s="325">
        <v>0.04</v>
      </c>
      <c r="EJ56" s="325">
        <v>0.04</v>
      </c>
      <c r="EK56" s="325">
        <v>0.04</v>
      </c>
      <c r="EL56" s="325">
        <v>0.04</v>
      </c>
      <c r="EM56" s="325">
        <v>0.04</v>
      </c>
      <c r="EN56" s="325">
        <v>0.04</v>
      </c>
      <c r="EO56" s="326">
        <v>0.04</v>
      </c>
      <c r="EP56" s="324"/>
      <c r="EQ56" s="325"/>
      <c r="ER56" s="325"/>
      <c r="ES56" s="325"/>
      <c r="ET56" s="325"/>
      <c r="EU56" s="325"/>
      <c r="EV56" s="325"/>
      <c r="EW56" s="325"/>
      <c r="EX56" s="325"/>
      <c r="EY56" s="325"/>
      <c r="EZ56" s="325"/>
      <c r="FA56" s="325"/>
      <c r="FB56" s="325"/>
      <c r="FC56" s="325"/>
      <c r="FD56" s="325"/>
      <c r="FE56" s="325"/>
      <c r="FF56" s="325"/>
      <c r="FG56" s="325"/>
      <c r="FH56" s="325"/>
      <c r="FI56" s="326"/>
      <c r="FJ56" s="324"/>
      <c r="FK56" s="325"/>
      <c r="FL56" s="325"/>
      <c r="FM56" s="325"/>
      <c r="FN56" s="325"/>
      <c r="FO56" s="325"/>
      <c r="FP56" s="325"/>
      <c r="FQ56" s="325"/>
      <c r="FR56" s="325"/>
      <c r="FS56" s="325"/>
      <c r="FT56" s="325"/>
      <c r="FU56" s="325"/>
      <c r="FV56" s="325"/>
      <c r="FW56" s="325"/>
      <c r="FX56" s="325"/>
      <c r="FY56" s="325"/>
      <c r="FZ56" s="325"/>
      <c r="GA56" s="325"/>
      <c r="GB56" s="325"/>
      <c r="GC56" s="326"/>
      <c r="GD56" s="324"/>
      <c r="GE56" s="325"/>
      <c r="GF56" s="325"/>
      <c r="GG56" s="325"/>
      <c r="GH56" s="325"/>
      <c r="GI56" s="325"/>
      <c r="GJ56" s="325"/>
      <c r="GK56" s="325"/>
      <c r="GL56" s="325"/>
      <c r="GM56" s="325"/>
      <c r="GN56" s="325"/>
      <c r="GO56" s="325"/>
      <c r="GP56" s="325"/>
      <c r="GQ56" s="325"/>
      <c r="GR56" s="325"/>
      <c r="GS56" s="325"/>
      <c r="GT56" s="325"/>
      <c r="GU56" s="325"/>
      <c r="GV56" s="325"/>
      <c r="GW56" s="326"/>
      <c r="GX56" s="324"/>
      <c r="GY56" s="325"/>
      <c r="GZ56" s="325"/>
      <c r="HA56" s="325"/>
      <c r="HB56" s="325"/>
      <c r="HC56" s="325"/>
      <c r="HD56" s="325"/>
      <c r="HE56" s="325"/>
      <c r="HF56" s="325"/>
      <c r="HG56" s="325"/>
      <c r="HH56" s="325"/>
      <c r="HI56" s="325"/>
      <c r="HJ56" s="325"/>
      <c r="HK56" s="325"/>
      <c r="HL56" s="325"/>
      <c r="HM56" s="325"/>
      <c r="HN56" s="325"/>
      <c r="HO56" s="325"/>
      <c r="HP56" s="325"/>
      <c r="HQ56" s="326"/>
      <c r="HR56" s="324"/>
      <c r="HS56" s="325"/>
      <c r="HT56" s="325"/>
      <c r="HU56" s="325"/>
      <c r="HV56" s="325"/>
      <c r="HW56" s="325"/>
      <c r="HX56" s="325"/>
      <c r="HY56" s="325"/>
      <c r="HZ56" s="325"/>
      <c r="IA56" s="325"/>
      <c r="IB56" s="325"/>
      <c r="IC56" s="325"/>
      <c r="ID56" s="325"/>
      <c r="IE56" s="325"/>
      <c r="IF56" s="325"/>
      <c r="IG56" s="325"/>
      <c r="IH56" s="325"/>
      <c r="II56" s="325"/>
      <c r="IJ56" s="325"/>
      <c r="IK56" s="326"/>
      <c r="IL56" s="324"/>
      <c r="IM56" s="325"/>
      <c r="IN56" s="325"/>
      <c r="IO56" s="325"/>
      <c r="IP56" s="325"/>
      <c r="IQ56" s="325"/>
      <c r="IR56" s="325"/>
      <c r="IS56" s="325"/>
      <c r="IT56" s="325"/>
      <c r="IU56" s="325"/>
      <c r="IV56" s="325"/>
      <c r="IW56" s="325"/>
      <c r="IX56" s="325"/>
      <c r="IY56" s="325"/>
      <c r="IZ56" s="325"/>
      <c r="JA56" s="325"/>
      <c r="JB56" s="325"/>
      <c r="JC56" s="325"/>
      <c r="JD56" s="325"/>
      <c r="JE56" s="326"/>
    </row>
    <row r="57" spans="2:265" x14ac:dyDescent="0.25">
      <c r="B57" s="102"/>
      <c r="C57" s="72"/>
      <c r="D57" s="158" t="s">
        <v>131</v>
      </c>
      <c r="E57" s="102" t="s">
        <v>251</v>
      </c>
      <c r="F57" s="327">
        <v>0.04</v>
      </c>
      <c r="G57" s="328">
        <v>0.04</v>
      </c>
      <c r="H57" s="328">
        <v>0.04</v>
      </c>
      <c r="I57" s="328">
        <v>0.04</v>
      </c>
      <c r="J57" s="328">
        <v>0.04</v>
      </c>
      <c r="K57" s="328">
        <v>0.04</v>
      </c>
      <c r="L57" s="328">
        <v>0.04</v>
      </c>
      <c r="M57" s="328">
        <v>0.04</v>
      </c>
      <c r="N57" s="328">
        <v>0.04</v>
      </c>
      <c r="O57" s="328">
        <v>5.0380000000000003</v>
      </c>
      <c r="P57" s="328">
        <v>0.04</v>
      </c>
      <c r="Q57" s="328">
        <v>0.04</v>
      </c>
      <c r="R57" s="328">
        <v>0.04</v>
      </c>
      <c r="S57" s="328">
        <v>0.24300000000000002</v>
      </c>
      <c r="T57" s="328">
        <v>0.04</v>
      </c>
      <c r="U57" s="328">
        <v>0.04</v>
      </c>
      <c r="V57" s="328">
        <v>0.04</v>
      </c>
      <c r="W57" s="328">
        <v>0.70500000000000007</v>
      </c>
      <c r="X57" s="328">
        <v>0.04</v>
      </c>
      <c r="Y57" s="329">
        <v>0.04</v>
      </c>
      <c r="Z57" s="327">
        <v>5.0380000000000003</v>
      </c>
      <c r="AA57" s="328">
        <v>0.04</v>
      </c>
      <c r="AB57" s="328">
        <v>0.04</v>
      </c>
      <c r="AC57" s="328">
        <v>0.04</v>
      </c>
      <c r="AD57" s="328">
        <v>0.24300000000000002</v>
      </c>
      <c r="AE57" s="328">
        <v>0.04</v>
      </c>
      <c r="AF57" s="328">
        <v>0.04</v>
      </c>
      <c r="AG57" s="328">
        <v>0.04</v>
      </c>
      <c r="AH57" s="328">
        <v>0.70500000000000007</v>
      </c>
      <c r="AI57" s="328">
        <v>5.0380000000000003</v>
      </c>
      <c r="AJ57" s="328">
        <v>0.04</v>
      </c>
      <c r="AK57" s="328">
        <v>0.04</v>
      </c>
      <c r="AL57" s="328">
        <v>0.24300000000000002</v>
      </c>
      <c r="AM57" s="328">
        <v>0.24300000000000002</v>
      </c>
      <c r="AN57" s="328">
        <v>0.04</v>
      </c>
      <c r="AO57" s="328">
        <v>0.04</v>
      </c>
      <c r="AP57" s="328">
        <v>0.70500000000000007</v>
      </c>
      <c r="AQ57" s="328">
        <v>0.70500000000000007</v>
      </c>
      <c r="AR57" s="328">
        <v>0.04</v>
      </c>
      <c r="AS57" s="329">
        <v>0.04</v>
      </c>
      <c r="AT57" s="327">
        <v>0.04</v>
      </c>
      <c r="AU57" s="328">
        <v>5.0380000000000003</v>
      </c>
      <c r="AV57" s="328">
        <v>0.04</v>
      </c>
      <c r="AW57" s="328">
        <v>0.04</v>
      </c>
      <c r="AX57" s="328">
        <v>0.04</v>
      </c>
      <c r="AY57" s="328">
        <v>0.24300000000000002</v>
      </c>
      <c r="AZ57" s="328">
        <v>0.04</v>
      </c>
      <c r="BA57" s="328">
        <v>0.04</v>
      </c>
      <c r="BB57" s="328">
        <v>0.04</v>
      </c>
      <c r="BC57" s="328">
        <v>0.70500000000000007</v>
      </c>
      <c r="BD57" s="328">
        <v>0.04</v>
      </c>
      <c r="BE57" s="328">
        <v>0.04</v>
      </c>
      <c r="BF57" s="328">
        <v>0.04</v>
      </c>
      <c r="BG57" s="328">
        <v>0.24300000000000002</v>
      </c>
      <c r="BH57" s="328">
        <v>0.04</v>
      </c>
      <c r="BI57" s="328">
        <v>0.04</v>
      </c>
      <c r="BJ57" s="328">
        <v>0.04</v>
      </c>
      <c r="BK57" s="328">
        <v>0.70500000000000007</v>
      </c>
      <c r="BL57" s="328">
        <v>0.04</v>
      </c>
      <c r="BM57" s="329">
        <v>0.04</v>
      </c>
      <c r="BN57" s="327">
        <v>0.04</v>
      </c>
      <c r="BO57" s="328">
        <v>0.04</v>
      </c>
      <c r="BP57" s="328">
        <v>5.0380000000000003</v>
      </c>
      <c r="BQ57" s="328">
        <v>0.04</v>
      </c>
      <c r="BR57" s="328">
        <v>0.04</v>
      </c>
      <c r="BS57" s="328">
        <v>0.04</v>
      </c>
      <c r="BT57" s="328">
        <v>0.24300000000000002</v>
      </c>
      <c r="BU57" s="328">
        <v>0.04</v>
      </c>
      <c r="BV57" s="328">
        <v>0.04</v>
      </c>
      <c r="BW57" s="328">
        <v>0.04</v>
      </c>
      <c r="BX57" s="328">
        <v>0.70500000000000007</v>
      </c>
      <c r="BY57" s="328">
        <v>0.04</v>
      </c>
      <c r="BZ57" s="328">
        <v>0.04</v>
      </c>
      <c r="CA57" s="328">
        <v>0.04</v>
      </c>
      <c r="CB57" s="328">
        <v>0.24300000000000002</v>
      </c>
      <c r="CC57" s="328">
        <v>0.04</v>
      </c>
      <c r="CD57" s="328">
        <v>0.04</v>
      </c>
      <c r="CE57" s="328">
        <v>0.04</v>
      </c>
      <c r="CF57" s="328">
        <v>0.70500000000000007</v>
      </c>
      <c r="CG57" s="329">
        <v>0.04</v>
      </c>
      <c r="CH57" s="327">
        <v>0.04</v>
      </c>
      <c r="CI57" s="328">
        <v>0.04</v>
      </c>
      <c r="CJ57" s="328">
        <v>0.04</v>
      </c>
      <c r="CK57" s="328">
        <v>5.0380000000000003</v>
      </c>
      <c r="CL57" s="328">
        <v>0.04</v>
      </c>
      <c r="CM57" s="328">
        <v>0.04</v>
      </c>
      <c r="CN57" s="328">
        <v>0.04</v>
      </c>
      <c r="CO57" s="328">
        <v>0.24300000000000002</v>
      </c>
      <c r="CP57" s="328">
        <v>0.04</v>
      </c>
      <c r="CQ57" s="328">
        <v>0.04</v>
      </c>
      <c r="CR57" s="328">
        <v>0.04</v>
      </c>
      <c r="CS57" s="328">
        <v>0.70500000000000007</v>
      </c>
      <c r="CT57" s="328">
        <v>0.04</v>
      </c>
      <c r="CU57" s="328">
        <v>0.04</v>
      </c>
      <c r="CV57" s="328">
        <v>0.04</v>
      </c>
      <c r="CW57" s="328">
        <v>0.24300000000000002</v>
      </c>
      <c r="CX57" s="328">
        <v>0.04</v>
      </c>
      <c r="CY57" s="328">
        <v>0.04</v>
      </c>
      <c r="CZ57" s="328">
        <v>0.04</v>
      </c>
      <c r="DA57" s="329">
        <v>0.70500000000000007</v>
      </c>
      <c r="DB57" s="327">
        <v>0.04</v>
      </c>
      <c r="DC57" s="328">
        <v>0.04</v>
      </c>
      <c r="DD57" s="328">
        <v>0.04</v>
      </c>
      <c r="DE57" s="328">
        <v>0.04</v>
      </c>
      <c r="DF57" s="328">
        <v>5.0380000000000003</v>
      </c>
      <c r="DG57" s="328">
        <v>0.04</v>
      </c>
      <c r="DH57" s="328">
        <v>0.04</v>
      </c>
      <c r="DI57" s="328">
        <v>0.04</v>
      </c>
      <c r="DJ57" s="328">
        <v>0.24300000000000002</v>
      </c>
      <c r="DK57" s="328">
        <v>0.04</v>
      </c>
      <c r="DL57" s="328">
        <v>0.04</v>
      </c>
      <c r="DM57" s="328">
        <v>0.04</v>
      </c>
      <c r="DN57" s="328">
        <v>0.70500000000000007</v>
      </c>
      <c r="DO57" s="328">
        <v>0.04</v>
      </c>
      <c r="DP57" s="328">
        <v>0.04</v>
      </c>
      <c r="DQ57" s="328">
        <v>0.04</v>
      </c>
      <c r="DR57" s="328">
        <v>0.24300000000000002</v>
      </c>
      <c r="DS57" s="328">
        <v>0.04</v>
      </c>
      <c r="DT57" s="328">
        <v>0.04</v>
      </c>
      <c r="DU57" s="329">
        <v>0.04</v>
      </c>
      <c r="DV57" s="327">
        <v>0.04</v>
      </c>
      <c r="DW57" s="328">
        <v>0.04</v>
      </c>
      <c r="DX57" s="328">
        <v>0.04</v>
      </c>
      <c r="DY57" s="328">
        <v>0.04</v>
      </c>
      <c r="DZ57" s="328">
        <v>0.04</v>
      </c>
      <c r="EA57" s="328">
        <v>5.0380000000000003</v>
      </c>
      <c r="EB57" s="328">
        <v>0.04</v>
      </c>
      <c r="EC57" s="328">
        <v>0.04</v>
      </c>
      <c r="ED57" s="328">
        <v>0.04</v>
      </c>
      <c r="EE57" s="328">
        <v>0.24300000000000002</v>
      </c>
      <c r="EF57" s="328">
        <v>0.04</v>
      </c>
      <c r="EG57" s="328">
        <v>0.04</v>
      </c>
      <c r="EH57" s="328">
        <v>0.04</v>
      </c>
      <c r="EI57" s="328">
        <v>0.70500000000000007</v>
      </c>
      <c r="EJ57" s="328">
        <v>0.04</v>
      </c>
      <c r="EK57" s="328">
        <v>0.04</v>
      </c>
      <c r="EL57" s="328">
        <v>0.04</v>
      </c>
      <c r="EM57" s="328">
        <v>0.24300000000000002</v>
      </c>
      <c r="EN57" s="328">
        <v>0.04</v>
      </c>
      <c r="EO57" s="329">
        <v>0.04</v>
      </c>
      <c r="EP57" s="327"/>
      <c r="EQ57" s="328"/>
      <c r="ER57" s="328"/>
      <c r="ES57" s="328"/>
      <c r="ET57" s="328"/>
      <c r="EU57" s="328"/>
      <c r="EV57" s="328"/>
      <c r="EW57" s="328"/>
      <c r="EX57" s="328"/>
      <c r="EY57" s="328"/>
      <c r="EZ57" s="328"/>
      <c r="FA57" s="328"/>
      <c r="FB57" s="328"/>
      <c r="FC57" s="328"/>
      <c r="FD57" s="328"/>
      <c r="FE57" s="328"/>
      <c r="FF57" s="328"/>
      <c r="FG57" s="328"/>
      <c r="FH57" s="328"/>
      <c r="FI57" s="329"/>
      <c r="FJ57" s="327"/>
      <c r="FK57" s="328"/>
      <c r="FL57" s="328"/>
      <c r="FM57" s="328"/>
      <c r="FN57" s="328"/>
      <c r="FO57" s="328"/>
      <c r="FP57" s="328"/>
      <c r="FQ57" s="328"/>
      <c r="FR57" s="328"/>
      <c r="FS57" s="328"/>
      <c r="FT57" s="328"/>
      <c r="FU57" s="328"/>
      <c r="FV57" s="328"/>
      <c r="FW57" s="328"/>
      <c r="FX57" s="328"/>
      <c r="FY57" s="328"/>
      <c r="FZ57" s="328"/>
      <c r="GA57" s="328"/>
      <c r="GB57" s="328"/>
      <c r="GC57" s="329"/>
      <c r="GD57" s="327"/>
      <c r="GE57" s="328"/>
      <c r="GF57" s="328"/>
      <c r="GG57" s="328"/>
      <c r="GH57" s="328"/>
      <c r="GI57" s="328"/>
      <c r="GJ57" s="328"/>
      <c r="GK57" s="328"/>
      <c r="GL57" s="328"/>
      <c r="GM57" s="328"/>
      <c r="GN57" s="328"/>
      <c r="GO57" s="328"/>
      <c r="GP57" s="328"/>
      <c r="GQ57" s="328"/>
      <c r="GR57" s="328"/>
      <c r="GS57" s="328"/>
      <c r="GT57" s="328"/>
      <c r="GU57" s="328"/>
      <c r="GV57" s="328"/>
      <c r="GW57" s="329"/>
      <c r="GX57" s="327"/>
      <c r="GY57" s="328"/>
      <c r="GZ57" s="328"/>
      <c r="HA57" s="328"/>
      <c r="HB57" s="328"/>
      <c r="HC57" s="328"/>
      <c r="HD57" s="328"/>
      <c r="HE57" s="328"/>
      <c r="HF57" s="328"/>
      <c r="HG57" s="328"/>
      <c r="HH57" s="328"/>
      <c r="HI57" s="328"/>
      <c r="HJ57" s="328"/>
      <c r="HK57" s="328"/>
      <c r="HL57" s="328"/>
      <c r="HM57" s="328"/>
      <c r="HN57" s="328"/>
      <c r="HO57" s="328"/>
      <c r="HP57" s="328"/>
      <c r="HQ57" s="329"/>
      <c r="HR57" s="327"/>
      <c r="HS57" s="328"/>
      <c r="HT57" s="328"/>
      <c r="HU57" s="328"/>
      <c r="HV57" s="328"/>
      <c r="HW57" s="328"/>
      <c r="HX57" s="328"/>
      <c r="HY57" s="328"/>
      <c r="HZ57" s="328"/>
      <c r="IA57" s="328"/>
      <c r="IB57" s="328"/>
      <c r="IC57" s="328"/>
      <c r="ID57" s="328"/>
      <c r="IE57" s="328"/>
      <c r="IF57" s="328"/>
      <c r="IG57" s="328"/>
      <c r="IH57" s="328"/>
      <c r="II57" s="328"/>
      <c r="IJ57" s="328"/>
      <c r="IK57" s="329"/>
      <c r="IL57" s="327"/>
      <c r="IM57" s="328"/>
      <c r="IN57" s="328"/>
      <c r="IO57" s="328"/>
      <c r="IP57" s="328"/>
      <c r="IQ57" s="328"/>
      <c r="IR57" s="328"/>
      <c r="IS57" s="328"/>
      <c r="IT57" s="328"/>
      <c r="IU57" s="328"/>
      <c r="IV57" s="328"/>
      <c r="IW57" s="328"/>
      <c r="IX57" s="328"/>
      <c r="IY57" s="328"/>
      <c r="IZ57" s="328"/>
      <c r="JA57" s="328"/>
      <c r="JB57" s="328"/>
      <c r="JC57" s="328"/>
      <c r="JD57" s="328"/>
      <c r="JE57" s="329"/>
    </row>
    <row r="58" spans="2:265" x14ac:dyDescent="0.25">
      <c r="B58" s="102"/>
      <c r="C58" s="26" t="s">
        <v>208</v>
      </c>
      <c r="D58" s="102" t="s">
        <v>202</v>
      </c>
      <c r="E58" s="101" t="s">
        <v>251</v>
      </c>
      <c r="F58" s="324">
        <v>0</v>
      </c>
      <c r="G58" s="325">
        <v>0</v>
      </c>
      <c r="H58" s="325">
        <v>0</v>
      </c>
      <c r="I58" s="325">
        <v>0</v>
      </c>
      <c r="J58" s="325">
        <v>0</v>
      </c>
      <c r="K58" s="325">
        <v>0</v>
      </c>
      <c r="L58" s="325">
        <v>0</v>
      </c>
      <c r="M58" s="325">
        <v>0</v>
      </c>
      <c r="N58" s="325">
        <v>0</v>
      </c>
      <c r="O58" s="325">
        <v>4.5481800000000003</v>
      </c>
      <c r="P58" s="325">
        <v>0</v>
      </c>
      <c r="Q58" s="325">
        <v>0</v>
      </c>
      <c r="R58" s="325">
        <v>0</v>
      </c>
      <c r="S58" s="325">
        <v>0</v>
      </c>
      <c r="T58" s="325">
        <v>0</v>
      </c>
      <c r="U58" s="325">
        <v>0</v>
      </c>
      <c r="V58" s="325">
        <v>0</v>
      </c>
      <c r="W58" s="325">
        <v>0</v>
      </c>
      <c r="X58" s="325">
        <v>0</v>
      </c>
      <c r="Y58" s="326">
        <v>0</v>
      </c>
      <c r="Z58" s="324">
        <v>4.5481800000000003</v>
      </c>
      <c r="AA58" s="325">
        <v>0</v>
      </c>
      <c r="AB58" s="325">
        <v>0</v>
      </c>
      <c r="AC58" s="325">
        <v>0</v>
      </c>
      <c r="AD58" s="325">
        <v>0</v>
      </c>
      <c r="AE58" s="325">
        <v>0</v>
      </c>
      <c r="AF58" s="325">
        <v>0</v>
      </c>
      <c r="AG58" s="325">
        <v>0</v>
      </c>
      <c r="AH58" s="325">
        <v>0</v>
      </c>
      <c r="AI58" s="325">
        <v>4.5481800000000003</v>
      </c>
      <c r="AJ58" s="325">
        <v>0</v>
      </c>
      <c r="AK58" s="325">
        <v>0</v>
      </c>
      <c r="AL58" s="325">
        <v>0</v>
      </c>
      <c r="AM58" s="325">
        <v>0</v>
      </c>
      <c r="AN58" s="325">
        <v>0</v>
      </c>
      <c r="AO58" s="325">
        <v>0</v>
      </c>
      <c r="AP58" s="325">
        <v>0</v>
      </c>
      <c r="AQ58" s="325">
        <v>0</v>
      </c>
      <c r="AR58" s="325">
        <v>0</v>
      </c>
      <c r="AS58" s="326">
        <v>0</v>
      </c>
      <c r="AT58" s="324">
        <v>0</v>
      </c>
      <c r="AU58" s="325">
        <v>4.5481800000000003</v>
      </c>
      <c r="AV58" s="325">
        <v>0</v>
      </c>
      <c r="AW58" s="325">
        <v>0</v>
      </c>
      <c r="AX58" s="325">
        <v>0</v>
      </c>
      <c r="AY58" s="325">
        <v>0</v>
      </c>
      <c r="AZ58" s="325">
        <v>0</v>
      </c>
      <c r="BA58" s="325">
        <v>0</v>
      </c>
      <c r="BB58" s="325">
        <v>0</v>
      </c>
      <c r="BC58" s="325">
        <v>0</v>
      </c>
      <c r="BD58" s="325">
        <v>0</v>
      </c>
      <c r="BE58" s="325">
        <v>0</v>
      </c>
      <c r="BF58" s="325">
        <v>0</v>
      </c>
      <c r="BG58" s="325">
        <v>0</v>
      </c>
      <c r="BH58" s="325">
        <v>0</v>
      </c>
      <c r="BI58" s="325">
        <v>0</v>
      </c>
      <c r="BJ58" s="325">
        <v>0</v>
      </c>
      <c r="BK58" s="325">
        <v>0</v>
      </c>
      <c r="BL58" s="325">
        <v>0</v>
      </c>
      <c r="BM58" s="326">
        <v>0</v>
      </c>
      <c r="BN58" s="324">
        <v>0</v>
      </c>
      <c r="BO58" s="325">
        <v>0</v>
      </c>
      <c r="BP58" s="325">
        <v>4.5481800000000003</v>
      </c>
      <c r="BQ58" s="325">
        <v>0</v>
      </c>
      <c r="BR58" s="325">
        <v>0</v>
      </c>
      <c r="BS58" s="325">
        <v>0</v>
      </c>
      <c r="BT58" s="325">
        <v>0</v>
      </c>
      <c r="BU58" s="325">
        <v>0</v>
      </c>
      <c r="BV58" s="325">
        <v>0</v>
      </c>
      <c r="BW58" s="325">
        <v>0</v>
      </c>
      <c r="BX58" s="325">
        <v>0</v>
      </c>
      <c r="BY58" s="325">
        <v>0</v>
      </c>
      <c r="BZ58" s="325">
        <v>0</v>
      </c>
      <c r="CA58" s="325">
        <v>0</v>
      </c>
      <c r="CB58" s="325">
        <v>0</v>
      </c>
      <c r="CC58" s="325">
        <v>0</v>
      </c>
      <c r="CD58" s="325">
        <v>0</v>
      </c>
      <c r="CE58" s="325">
        <v>0</v>
      </c>
      <c r="CF58" s="325">
        <v>0</v>
      </c>
      <c r="CG58" s="326">
        <v>0</v>
      </c>
      <c r="CH58" s="324">
        <v>0</v>
      </c>
      <c r="CI58" s="325">
        <v>0</v>
      </c>
      <c r="CJ58" s="325">
        <v>0</v>
      </c>
      <c r="CK58" s="325">
        <v>4.5481800000000003</v>
      </c>
      <c r="CL58" s="325">
        <v>0</v>
      </c>
      <c r="CM58" s="325">
        <v>0</v>
      </c>
      <c r="CN58" s="325">
        <v>0</v>
      </c>
      <c r="CO58" s="325">
        <v>0</v>
      </c>
      <c r="CP58" s="325">
        <v>0</v>
      </c>
      <c r="CQ58" s="325">
        <v>0</v>
      </c>
      <c r="CR58" s="325">
        <v>0</v>
      </c>
      <c r="CS58" s="325">
        <v>0</v>
      </c>
      <c r="CT58" s="325">
        <v>0</v>
      </c>
      <c r="CU58" s="325">
        <v>0</v>
      </c>
      <c r="CV58" s="325">
        <v>0</v>
      </c>
      <c r="CW58" s="325">
        <v>0</v>
      </c>
      <c r="CX58" s="325">
        <v>0</v>
      </c>
      <c r="CY58" s="325">
        <v>0</v>
      </c>
      <c r="CZ58" s="325">
        <v>0</v>
      </c>
      <c r="DA58" s="326">
        <v>0</v>
      </c>
      <c r="DB58" s="324">
        <v>0</v>
      </c>
      <c r="DC58" s="325">
        <v>0</v>
      </c>
      <c r="DD58" s="325">
        <v>0</v>
      </c>
      <c r="DE58" s="325">
        <v>0</v>
      </c>
      <c r="DF58" s="325">
        <v>4.5481800000000003</v>
      </c>
      <c r="DG58" s="325">
        <v>0</v>
      </c>
      <c r="DH58" s="325">
        <v>0</v>
      </c>
      <c r="DI58" s="325">
        <v>0</v>
      </c>
      <c r="DJ58" s="325">
        <v>0</v>
      </c>
      <c r="DK58" s="325">
        <v>0</v>
      </c>
      <c r="DL58" s="325">
        <v>0</v>
      </c>
      <c r="DM58" s="325">
        <v>0</v>
      </c>
      <c r="DN58" s="325">
        <v>0</v>
      </c>
      <c r="DO58" s="325">
        <v>0</v>
      </c>
      <c r="DP58" s="325">
        <v>0</v>
      </c>
      <c r="DQ58" s="325">
        <v>0</v>
      </c>
      <c r="DR58" s="325">
        <v>0</v>
      </c>
      <c r="DS58" s="325">
        <v>0</v>
      </c>
      <c r="DT58" s="325">
        <v>0</v>
      </c>
      <c r="DU58" s="326">
        <v>0</v>
      </c>
      <c r="DV58" s="324">
        <v>0</v>
      </c>
      <c r="DW58" s="325">
        <v>0</v>
      </c>
      <c r="DX58" s="325">
        <v>0</v>
      </c>
      <c r="DY58" s="325">
        <v>0</v>
      </c>
      <c r="DZ58" s="325">
        <v>0</v>
      </c>
      <c r="EA58" s="325">
        <v>4.5481800000000003</v>
      </c>
      <c r="EB58" s="325">
        <v>0</v>
      </c>
      <c r="EC58" s="325">
        <v>0</v>
      </c>
      <c r="ED58" s="325">
        <v>0</v>
      </c>
      <c r="EE58" s="325">
        <v>0</v>
      </c>
      <c r="EF58" s="325">
        <v>0</v>
      </c>
      <c r="EG58" s="325">
        <v>0</v>
      </c>
      <c r="EH58" s="325">
        <v>0</v>
      </c>
      <c r="EI58" s="325">
        <v>0</v>
      </c>
      <c r="EJ58" s="325">
        <v>0</v>
      </c>
      <c r="EK58" s="325">
        <v>0</v>
      </c>
      <c r="EL58" s="325">
        <v>0</v>
      </c>
      <c r="EM58" s="325">
        <v>0</v>
      </c>
      <c r="EN58" s="325">
        <v>0</v>
      </c>
      <c r="EO58" s="326">
        <v>0</v>
      </c>
      <c r="EP58" s="324"/>
      <c r="EQ58" s="325"/>
      <c r="ER58" s="325"/>
      <c r="ES58" s="325"/>
      <c r="ET58" s="325"/>
      <c r="EU58" s="325"/>
      <c r="EV58" s="325"/>
      <c r="EW58" s="325"/>
      <c r="EX58" s="325"/>
      <c r="EY58" s="325"/>
      <c r="EZ58" s="325"/>
      <c r="FA58" s="325"/>
      <c r="FB58" s="325"/>
      <c r="FC58" s="325"/>
      <c r="FD58" s="325"/>
      <c r="FE58" s="325"/>
      <c r="FF58" s="325"/>
      <c r="FG58" s="325"/>
      <c r="FH58" s="325"/>
      <c r="FI58" s="326"/>
      <c r="FJ58" s="324"/>
      <c r="FK58" s="325"/>
      <c r="FL58" s="325"/>
      <c r="FM58" s="325"/>
      <c r="FN58" s="325"/>
      <c r="FO58" s="325"/>
      <c r="FP58" s="325"/>
      <c r="FQ58" s="325"/>
      <c r="FR58" s="325"/>
      <c r="FS58" s="325"/>
      <c r="FT58" s="325"/>
      <c r="FU58" s="325"/>
      <c r="FV58" s="325"/>
      <c r="FW58" s="325"/>
      <c r="FX58" s="325"/>
      <c r="FY58" s="325"/>
      <c r="FZ58" s="325"/>
      <c r="GA58" s="325"/>
      <c r="GB58" s="325"/>
      <c r="GC58" s="326"/>
      <c r="GD58" s="324"/>
      <c r="GE58" s="325"/>
      <c r="GF58" s="325"/>
      <c r="GG58" s="325"/>
      <c r="GH58" s="325"/>
      <c r="GI58" s="325"/>
      <c r="GJ58" s="325"/>
      <c r="GK58" s="325"/>
      <c r="GL58" s="325"/>
      <c r="GM58" s="325"/>
      <c r="GN58" s="325"/>
      <c r="GO58" s="325"/>
      <c r="GP58" s="325"/>
      <c r="GQ58" s="325"/>
      <c r="GR58" s="325"/>
      <c r="GS58" s="325"/>
      <c r="GT58" s="325"/>
      <c r="GU58" s="325"/>
      <c r="GV58" s="325"/>
      <c r="GW58" s="326"/>
      <c r="GX58" s="324"/>
      <c r="GY58" s="325"/>
      <c r="GZ58" s="325"/>
      <c r="HA58" s="325"/>
      <c r="HB58" s="325"/>
      <c r="HC58" s="325"/>
      <c r="HD58" s="325"/>
      <c r="HE58" s="325"/>
      <c r="HF58" s="325"/>
      <c r="HG58" s="325"/>
      <c r="HH58" s="325"/>
      <c r="HI58" s="325"/>
      <c r="HJ58" s="325"/>
      <c r="HK58" s="325"/>
      <c r="HL58" s="325"/>
      <c r="HM58" s="325"/>
      <c r="HN58" s="325"/>
      <c r="HO58" s="325"/>
      <c r="HP58" s="325"/>
      <c r="HQ58" s="326"/>
      <c r="HR58" s="324"/>
      <c r="HS58" s="325"/>
      <c r="HT58" s="325"/>
      <c r="HU58" s="325"/>
      <c r="HV58" s="325"/>
      <c r="HW58" s="325"/>
      <c r="HX58" s="325"/>
      <c r="HY58" s="325"/>
      <c r="HZ58" s="325"/>
      <c r="IA58" s="325"/>
      <c r="IB58" s="325"/>
      <c r="IC58" s="325"/>
      <c r="ID58" s="325"/>
      <c r="IE58" s="325"/>
      <c r="IF58" s="325"/>
      <c r="IG58" s="325"/>
      <c r="IH58" s="325"/>
      <c r="II58" s="325"/>
      <c r="IJ58" s="325"/>
      <c r="IK58" s="326"/>
      <c r="IL58" s="324"/>
      <c r="IM58" s="325"/>
      <c r="IN58" s="325"/>
      <c r="IO58" s="325"/>
      <c r="IP58" s="325"/>
      <c r="IQ58" s="325"/>
      <c r="IR58" s="325"/>
      <c r="IS58" s="325"/>
      <c r="IT58" s="325"/>
      <c r="IU58" s="325"/>
      <c r="IV58" s="325"/>
      <c r="IW58" s="325"/>
      <c r="IX58" s="325"/>
      <c r="IY58" s="325"/>
      <c r="IZ58" s="325"/>
      <c r="JA58" s="325"/>
      <c r="JB58" s="325"/>
      <c r="JC58" s="325"/>
      <c r="JD58" s="325"/>
      <c r="JE58" s="326"/>
    </row>
    <row r="59" spans="2:265" x14ac:dyDescent="0.25">
      <c r="B59" s="102"/>
      <c r="C59" s="40" t="s">
        <v>206</v>
      </c>
      <c r="D59" s="102" t="s">
        <v>321</v>
      </c>
      <c r="E59" s="102" t="s">
        <v>251</v>
      </c>
      <c r="F59" s="324">
        <v>0</v>
      </c>
      <c r="G59" s="325">
        <v>0</v>
      </c>
      <c r="H59" s="325">
        <v>0</v>
      </c>
      <c r="I59" s="325">
        <v>0</v>
      </c>
      <c r="J59" s="325">
        <v>0</v>
      </c>
      <c r="K59" s="325">
        <v>0</v>
      </c>
      <c r="L59" s="325">
        <v>0</v>
      </c>
      <c r="M59" s="325">
        <v>0</v>
      </c>
      <c r="N59" s="325">
        <v>0</v>
      </c>
      <c r="O59" s="325">
        <v>0</v>
      </c>
      <c r="P59" s="325">
        <v>0</v>
      </c>
      <c r="Q59" s="325">
        <v>0</v>
      </c>
      <c r="R59" s="325">
        <v>0</v>
      </c>
      <c r="S59" s="325">
        <v>0.18473000000000001</v>
      </c>
      <c r="T59" s="325">
        <v>0</v>
      </c>
      <c r="U59" s="325">
        <v>0</v>
      </c>
      <c r="V59" s="325">
        <v>0</v>
      </c>
      <c r="W59" s="325">
        <v>0.60514999999999997</v>
      </c>
      <c r="X59" s="325">
        <v>0</v>
      </c>
      <c r="Y59" s="326">
        <v>0</v>
      </c>
      <c r="Z59" s="324">
        <v>0</v>
      </c>
      <c r="AA59" s="325">
        <v>0</v>
      </c>
      <c r="AB59" s="325">
        <v>0</v>
      </c>
      <c r="AC59" s="325">
        <v>0</v>
      </c>
      <c r="AD59" s="325">
        <v>0.18473000000000001</v>
      </c>
      <c r="AE59" s="325">
        <v>0</v>
      </c>
      <c r="AF59" s="325">
        <v>0</v>
      </c>
      <c r="AG59" s="325">
        <v>0</v>
      </c>
      <c r="AH59" s="325">
        <v>0.60514999999999997</v>
      </c>
      <c r="AI59" s="325">
        <v>0</v>
      </c>
      <c r="AJ59" s="325">
        <v>0</v>
      </c>
      <c r="AK59" s="325">
        <v>0</v>
      </c>
      <c r="AL59" s="325">
        <v>0.18473000000000001</v>
      </c>
      <c r="AM59" s="325">
        <v>0.18473000000000001</v>
      </c>
      <c r="AN59" s="325">
        <v>0</v>
      </c>
      <c r="AO59" s="325">
        <v>0</v>
      </c>
      <c r="AP59" s="325">
        <v>0.60514999999999997</v>
      </c>
      <c r="AQ59" s="325">
        <v>0.60514999999999997</v>
      </c>
      <c r="AR59" s="325">
        <v>0</v>
      </c>
      <c r="AS59" s="326">
        <v>0</v>
      </c>
      <c r="AT59" s="324">
        <v>0</v>
      </c>
      <c r="AU59" s="325">
        <v>0</v>
      </c>
      <c r="AV59" s="325">
        <v>0</v>
      </c>
      <c r="AW59" s="325">
        <v>0</v>
      </c>
      <c r="AX59" s="325">
        <v>0</v>
      </c>
      <c r="AY59" s="325">
        <v>0.18473000000000001</v>
      </c>
      <c r="AZ59" s="325">
        <v>0</v>
      </c>
      <c r="BA59" s="325">
        <v>0</v>
      </c>
      <c r="BB59" s="325">
        <v>0</v>
      </c>
      <c r="BC59" s="325">
        <v>0.60514999999999997</v>
      </c>
      <c r="BD59" s="325">
        <v>0</v>
      </c>
      <c r="BE59" s="325">
        <v>0</v>
      </c>
      <c r="BF59" s="325">
        <v>0</v>
      </c>
      <c r="BG59" s="325">
        <v>0.18473000000000001</v>
      </c>
      <c r="BH59" s="325">
        <v>0</v>
      </c>
      <c r="BI59" s="325">
        <v>0</v>
      </c>
      <c r="BJ59" s="325">
        <v>0</v>
      </c>
      <c r="BK59" s="325">
        <v>0.60514999999999997</v>
      </c>
      <c r="BL59" s="325">
        <v>0</v>
      </c>
      <c r="BM59" s="326">
        <v>0</v>
      </c>
      <c r="BN59" s="324">
        <v>0</v>
      </c>
      <c r="BO59" s="325">
        <v>0</v>
      </c>
      <c r="BP59" s="325">
        <v>0</v>
      </c>
      <c r="BQ59" s="325">
        <v>0</v>
      </c>
      <c r="BR59" s="325">
        <v>0</v>
      </c>
      <c r="BS59" s="325">
        <v>0</v>
      </c>
      <c r="BT59" s="325">
        <v>0.18473000000000001</v>
      </c>
      <c r="BU59" s="325">
        <v>0</v>
      </c>
      <c r="BV59" s="325">
        <v>0</v>
      </c>
      <c r="BW59" s="325">
        <v>0</v>
      </c>
      <c r="BX59" s="325">
        <v>0.60514999999999997</v>
      </c>
      <c r="BY59" s="325">
        <v>0</v>
      </c>
      <c r="BZ59" s="325">
        <v>0</v>
      </c>
      <c r="CA59" s="325">
        <v>0</v>
      </c>
      <c r="CB59" s="325">
        <v>0.18473000000000001</v>
      </c>
      <c r="CC59" s="325">
        <v>0</v>
      </c>
      <c r="CD59" s="325">
        <v>0</v>
      </c>
      <c r="CE59" s="325">
        <v>0</v>
      </c>
      <c r="CF59" s="325">
        <v>0.60514999999999997</v>
      </c>
      <c r="CG59" s="326">
        <v>0</v>
      </c>
      <c r="CH59" s="324">
        <v>0</v>
      </c>
      <c r="CI59" s="325">
        <v>0</v>
      </c>
      <c r="CJ59" s="325">
        <v>0</v>
      </c>
      <c r="CK59" s="325">
        <v>0</v>
      </c>
      <c r="CL59" s="325">
        <v>0</v>
      </c>
      <c r="CM59" s="325">
        <v>0</v>
      </c>
      <c r="CN59" s="325">
        <v>0</v>
      </c>
      <c r="CO59" s="325">
        <v>0.18473000000000001</v>
      </c>
      <c r="CP59" s="325">
        <v>0</v>
      </c>
      <c r="CQ59" s="325">
        <v>0</v>
      </c>
      <c r="CR59" s="325">
        <v>0</v>
      </c>
      <c r="CS59" s="325">
        <v>0.60514999999999997</v>
      </c>
      <c r="CT59" s="325">
        <v>0</v>
      </c>
      <c r="CU59" s="325">
        <v>0</v>
      </c>
      <c r="CV59" s="325">
        <v>0</v>
      </c>
      <c r="CW59" s="325">
        <v>0.18473000000000001</v>
      </c>
      <c r="CX59" s="325">
        <v>0</v>
      </c>
      <c r="CY59" s="325">
        <v>0</v>
      </c>
      <c r="CZ59" s="325">
        <v>0</v>
      </c>
      <c r="DA59" s="326">
        <v>0.60514999999999997</v>
      </c>
      <c r="DB59" s="324">
        <v>0</v>
      </c>
      <c r="DC59" s="325">
        <v>0</v>
      </c>
      <c r="DD59" s="325">
        <v>0</v>
      </c>
      <c r="DE59" s="325">
        <v>0</v>
      </c>
      <c r="DF59" s="325">
        <v>0</v>
      </c>
      <c r="DG59" s="325">
        <v>0</v>
      </c>
      <c r="DH59" s="325">
        <v>0</v>
      </c>
      <c r="DI59" s="325">
        <v>0</v>
      </c>
      <c r="DJ59" s="325">
        <v>0.18473000000000001</v>
      </c>
      <c r="DK59" s="325">
        <v>0</v>
      </c>
      <c r="DL59" s="325">
        <v>0</v>
      </c>
      <c r="DM59" s="325">
        <v>0</v>
      </c>
      <c r="DN59" s="325">
        <v>0.60514999999999997</v>
      </c>
      <c r="DO59" s="325">
        <v>0</v>
      </c>
      <c r="DP59" s="325">
        <v>0</v>
      </c>
      <c r="DQ59" s="325">
        <v>0</v>
      </c>
      <c r="DR59" s="325">
        <v>0.18473000000000001</v>
      </c>
      <c r="DS59" s="325">
        <v>0</v>
      </c>
      <c r="DT59" s="325">
        <v>0</v>
      </c>
      <c r="DU59" s="326">
        <v>0</v>
      </c>
      <c r="DV59" s="324">
        <v>0</v>
      </c>
      <c r="DW59" s="325">
        <v>0</v>
      </c>
      <c r="DX59" s="325">
        <v>0</v>
      </c>
      <c r="DY59" s="325">
        <v>0</v>
      </c>
      <c r="DZ59" s="325">
        <v>0</v>
      </c>
      <c r="EA59" s="325">
        <v>0</v>
      </c>
      <c r="EB59" s="325">
        <v>0</v>
      </c>
      <c r="EC59" s="325">
        <v>0</v>
      </c>
      <c r="ED59" s="325">
        <v>0</v>
      </c>
      <c r="EE59" s="325">
        <v>0.18473000000000001</v>
      </c>
      <c r="EF59" s="325">
        <v>0</v>
      </c>
      <c r="EG59" s="325">
        <v>0</v>
      </c>
      <c r="EH59" s="325">
        <v>0</v>
      </c>
      <c r="EI59" s="325">
        <v>0.60514999999999997</v>
      </c>
      <c r="EJ59" s="325">
        <v>0</v>
      </c>
      <c r="EK59" s="325">
        <v>0</v>
      </c>
      <c r="EL59" s="325">
        <v>0</v>
      </c>
      <c r="EM59" s="325">
        <v>0.18473000000000001</v>
      </c>
      <c r="EN59" s="325">
        <v>0</v>
      </c>
      <c r="EO59" s="326">
        <v>0</v>
      </c>
      <c r="EP59" s="324"/>
      <c r="EQ59" s="325"/>
      <c r="ER59" s="325"/>
      <c r="ES59" s="325"/>
      <c r="ET59" s="325"/>
      <c r="EU59" s="325"/>
      <c r="EV59" s="325"/>
      <c r="EW59" s="325"/>
      <c r="EX59" s="325"/>
      <c r="EY59" s="325"/>
      <c r="EZ59" s="325"/>
      <c r="FA59" s="325"/>
      <c r="FB59" s="325"/>
      <c r="FC59" s="325"/>
      <c r="FD59" s="325"/>
      <c r="FE59" s="325"/>
      <c r="FF59" s="325"/>
      <c r="FG59" s="325"/>
      <c r="FH59" s="325"/>
      <c r="FI59" s="326"/>
      <c r="FJ59" s="324"/>
      <c r="FK59" s="325"/>
      <c r="FL59" s="325"/>
      <c r="FM59" s="325"/>
      <c r="FN59" s="325"/>
      <c r="FO59" s="325"/>
      <c r="FP59" s="325"/>
      <c r="FQ59" s="325"/>
      <c r="FR59" s="325"/>
      <c r="FS59" s="325"/>
      <c r="FT59" s="325"/>
      <c r="FU59" s="325"/>
      <c r="FV59" s="325"/>
      <c r="FW59" s="325"/>
      <c r="FX59" s="325"/>
      <c r="FY59" s="325"/>
      <c r="FZ59" s="325"/>
      <c r="GA59" s="325"/>
      <c r="GB59" s="325"/>
      <c r="GC59" s="326"/>
      <c r="GD59" s="324"/>
      <c r="GE59" s="325"/>
      <c r="GF59" s="325"/>
      <c r="GG59" s="325"/>
      <c r="GH59" s="325"/>
      <c r="GI59" s="325"/>
      <c r="GJ59" s="325"/>
      <c r="GK59" s="325"/>
      <c r="GL59" s="325"/>
      <c r="GM59" s="325"/>
      <c r="GN59" s="325"/>
      <c r="GO59" s="325"/>
      <c r="GP59" s="325"/>
      <c r="GQ59" s="325"/>
      <c r="GR59" s="325"/>
      <c r="GS59" s="325"/>
      <c r="GT59" s="325"/>
      <c r="GU59" s="325"/>
      <c r="GV59" s="325"/>
      <c r="GW59" s="326"/>
      <c r="GX59" s="324"/>
      <c r="GY59" s="325"/>
      <c r="GZ59" s="325"/>
      <c r="HA59" s="325"/>
      <c r="HB59" s="325"/>
      <c r="HC59" s="325"/>
      <c r="HD59" s="325"/>
      <c r="HE59" s="325"/>
      <c r="HF59" s="325"/>
      <c r="HG59" s="325"/>
      <c r="HH59" s="325"/>
      <c r="HI59" s="325"/>
      <c r="HJ59" s="325"/>
      <c r="HK59" s="325"/>
      <c r="HL59" s="325"/>
      <c r="HM59" s="325"/>
      <c r="HN59" s="325"/>
      <c r="HO59" s="325"/>
      <c r="HP59" s="325"/>
      <c r="HQ59" s="326"/>
      <c r="HR59" s="324"/>
      <c r="HS59" s="325"/>
      <c r="HT59" s="325"/>
      <c r="HU59" s="325"/>
      <c r="HV59" s="325"/>
      <c r="HW59" s="325"/>
      <c r="HX59" s="325"/>
      <c r="HY59" s="325"/>
      <c r="HZ59" s="325"/>
      <c r="IA59" s="325"/>
      <c r="IB59" s="325"/>
      <c r="IC59" s="325"/>
      <c r="ID59" s="325"/>
      <c r="IE59" s="325"/>
      <c r="IF59" s="325"/>
      <c r="IG59" s="325"/>
      <c r="IH59" s="325"/>
      <c r="II59" s="325"/>
      <c r="IJ59" s="325"/>
      <c r="IK59" s="326"/>
      <c r="IL59" s="324"/>
      <c r="IM59" s="325"/>
      <c r="IN59" s="325"/>
      <c r="IO59" s="325"/>
      <c r="IP59" s="325"/>
      <c r="IQ59" s="325"/>
      <c r="IR59" s="325"/>
      <c r="IS59" s="325"/>
      <c r="IT59" s="325"/>
      <c r="IU59" s="325"/>
      <c r="IV59" s="325"/>
      <c r="IW59" s="325"/>
      <c r="IX59" s="325"/>
      <c r="IY59" s="325"/>
      <c r="IZ59" s="325"/>
      <c r="JA59" s="325"/>
      <c r="JB59" s="325"/>
      <c r="JC59" s="325"/>
      <c r="JD59" s="325"/>
      <c r="JE59" s="326"/>
    </row>
    <row r="60" spans="2:265" x14ac:dyDescent="0.25">
      <c r="B60" s="102"/>
      <c r="C60" s="40" t="s">
        <v>205</v>
      </c>
      <c r="D60" s="102" t="s">
        <v>203</v>
      </c>
      <c r="E60" s="102" t="s">
        <v>251</v>
      </c>
      <c r="F60" s="324">
        <v>3.6400000000000002E-2</v>
      </c>
      <c r="G60" s="325">
        <v>3.6400000000000002E-2</v>
      </c>
      <c r="H60" s="325">
        <v>3.6400000000000002E-2</v>
      </c>
      <c r="I60" s="325">
        <v>3.6400000000000002E-2</v>
      </c>
      <c r="J60" s="325">
        <v>3.6400000000000002E-2</v>
      </c>
      <c r="K60" s="325">
        <v>3.6400000000000002E-2</v>
      </c>
      <c r="L60" s="325">
        <v>3.6400000000000002E-2</v>
      </c>
      <c r="M60" s="325">
        <v>3.6400000000000002E-2</v>
      </c>
      <c r="N60" s="325">
        <v>3.6400000000000002E-2</v>
      </c>
      <c r="O60" s="325">
        <v>3.6400000000000002E-2</v>
      </c>
      <c r="P60" s="325">
        <v>3.6400000000000002E-2</v>
      </c>
      <c r="Q60" s="325">
        <v>3.6400000000000002E-2</v>
      </c>
      <c r="R60" s="325">
        <v>3.6400000000000002E-2</v>
      </c>
      <c r="S60" s="325">
        <v>3.6400000000000002E-2</v>
      </c>
      <c r="T60" s="325">
        <v>3.6400000000000002E-2</v>
      </c>
      <c r="U60" s="325">
        <v>3.6400000000000002E-2</v>
      </c>
      <c r="V60" s="325">
        <v>3.6400000000000002E-2</v>
      </c>
      <c r="W60" s="325">
        <v>3.6400000000000002E-2</v>
      </c>
      <c r="X60" s="325">
        <v>3.6400000000000002E-2</v>
      </c>
      <c r="Y60" s="326">
        <v>3.6400000000000002E-2</v>
      </c>
      <c r="Z60" s="324">
        <v>3.6400000000000002E-2</v>
      </c>
      <c r="AA60" s="325">
        <v>3.6400000000000002E-2</v>
      </c>
      <c r="AB60" s="325">
        <v>3.6400000000000002E-2</v>
      </c>
      <c r="AC60" s="325">
        <v>3.6400000000000002E-2</v>
      </c>
      <c r="AD60" s="325">
        <v>3.6400000000000002E-2</v>
      </c>
      <c r="AE60" s="325">
        <v>3.6400000000000002E-2</v>
      </c>
      <c r="AF60" s="325">
        <v>3.6400000000000002E-2</v>
      </c>
      <c r="AG60" s="325">
        <v>3.6400000000000002E-2</v>
      </c>
      <c r="AH60" s="325">
        <v>3.6400000000000002E-2</v>
      </c>
      <c r="AI60" s="325">
        <v>3.6400000000000002E-2</v>
      </c>
      <c r="AJ60" s="325">
        <v>3.6400000000000002E-2</v>
      </c>
      <c r="AK60" s="325">
        <v>3.6400000000000002E-2</v>
      </c>
      <c r="AL60" s="325">
        <v>3.6400000000000002E-2</v>
      </c>
      <c r="AM60" s="325">
        <v>3.6400000000000002E-2</v>
      </c>
      <c r="AN60" s="325">
        <v>3.6400000000000002E-2</v>
      </c>
      <c r="AO60" s="325">
        <v>3.6400000000000002E-2</v>
      </c>
      <c r="AP60" s="325">
        <v>3.6400000000000002E-2</v>
      </c>
      <c r="AQ60" s="325">
        <v>3.6400000000000002E-2</v>
      </c>
      <c r="AR60" s="325">
        <v>3.6400000000000002E-2</v>
      </c>
      <c r="AS60" s="326">
        <v>3.6400000000000002E-2</v>
      </c>
      <c r="AT60" s="324">
        <v>3.6400000000000002E-2</v>
      </c>
      <c r="AU60" s="325">
        <v>3.6400000000000002E-2</v>
      </c>
      <c r="AV60" s="325">
        <v>3.6400000000000002E-2</v>
      </c>
      <c r="AW60" s="325">
        <v>3.6400000000000002E-2</v>
      </c>
      <c r="AX60" s="325">
        <v>3.6400000000000002E-2</v>
      </c>
      <c r="AY60" s="325">
        <v>3.6400000000000002E-2</v>
      </c>
      <c r="AZ60" s="325">
        <v>3.6400000000000002E-2</v>
      </c>
      <c r="BA60" s="325">
        <v>3.6400000000000002E-2</v>
      </c>
      <c r="BB60" s="325">
        <v>3.6400000000000002E-2</v>
      </c>
      <c r="BC60" s="325">
        <v>3.6400000000000002E-2</v>
      </c>
      <c r="BD60" s="325">
        <v>3.6400000000000002E-2</v>
      </c>
      <c r="BE60" s="325">
        <v>3.6400000000000002E-2</v>
      </c>
      <c r="BF60" s="325">
        <v>3.6400000000000002E-2</v>
      </c>
      <c r="BG60" s="325">
        <v>3.6400000000000002E-2</v>
      </c>
      <c r="BH60" s="325">
        <v>3.6400000000000002E-2</v>
      </c>
      <c r="BI60" s="325">
        <v>3.6400000000000002E-2</v>
      </c>
      <c r="BJ60" s="325">
        <v>3.6400000000000002E-2</v>
      </c>
      <c r="BK60" s="325">
        <v>3.6400000000000002E-2</v>
      </c>
      <c r="BL60" s="325">
        <v>3.6400000000000002E-2</v>
      </c>
      <c r="BM60" s="326">
        <v>3.6400000000000002E-2</v>
      </c>
      <c r="BN60" s="324">
        <v>3.6400000000000002E-2</v>
      </c>
      <c r="BO60" s="325">
        <v>3.6400000000000002E-2</v>
      </c>
      <c r="BP60" s="325">
        <v>3.6400000000000002E-2</v>
      </c>
      <c r="BQ60" s="325">
        <v>3.6400000000000002E-2</v>
      </c>
      <c r="BR60" s="325">
        <v>3.6400000000000002E-2</v>
      </c>
      <c r="BS60" s="325">
        <v>3.6400000000000002E-2</v>
      </c>
      <c r="BT60" s="325">
        <v>3.6400000000000002E-2</v>
      </c>
      <c r="BU60" s="325">
        <v>3.6400000000000002E-2</v>
      </c>
      <c r="BV60" s="325">
        <v>3.6400000000000002E-2</v>
      </c>
      <c r="BW60" s="325">
        <v>3.6400000000000002E-2</v>
      </c>
      <c r="BX60" s="325">
        <v>3.6400000000000002E-2</v>
      </c>
      <c r="BY60" s="325">
        <v>3.6400000000000002E-2</v>
      </c>
      <c r="BZ60" s="325">
        <v>3.6400000000000002E-2</v>
      </c>
      <c r="CA60" s="325">
        <v>3.6400000000000002E-2</v>
      </c>
      <c r="CB60" s="325">
        <v>3.6400000000000002E-2</v>
      </c>
      <c r="CC60" s="325">
        <v>3.6400000000000002E-2</v>
      </c>
      <c r="CD60" s="325">
        <v>3.6400000000000002E-2</v>
      </c>
      <c r="CE60" s="325">
        <v>3.6400000000000002E-2</v>
      </c>
      <c r="CF60" s="325">
        <v>3.6400000000000002E-2</v>
      </c>
      <c r="CG60" s="326">
        <v>3.6400000000000002E-2</v>
      </c>
      <c r="CH60" s="324">
        <v>3.6400000000000002E-2</v>
      </c>
      <c r="CI60" s="325">
        <v>3.6400000000000002E-2</v>
      </c>
      <c r="CJ60" s="325">
        <v>3.6400000000000002E-2</v>
      </c>
      <c r="CK60" s="325">
        <v>3.6400000000000002E-2</v>
      </c>
      <c r="CL60" s="325">
        <v>3.6400000000000002E-2</v>
      </c>
      <c r="CM60" s="325">
        <v>3.6400000000000002E-2</v>
      </c>
      <c r="CN60" s="325">
        <v>3.6400000000000002E-2</v>
      </c>
      <c r="CO60" s="325">
        <v>3.6400000000000002E-2</v>
      </c>
      <c r="CP60" s="325">
        <v>3.6400000000000002E-2</v>
      </c>
      <c r="CQ60" s="325">
        <v>3.6400000000000002E-2</v>
      </c>
      <c r="CR60" s="325">
        <v>3.6400000000000002E-2</v>
      </c>
      <c r="CS60" s="325">
        <v>3.6400000000000002E-2</v>
      </c>
      <c r="CT60" s="325">
        <v>3.6400000000000002E-2</v>
      </c>
      <c r="CU60" s="325">
        <v>3.6400000000000002E-2</v>
      </c>
      <c r="CV60" s="325">
        <v>3.6400000000000002E-2</v>
      </c>
      <c r="CW60" s="325">
        <v>3.6400000000000002E-2</v>
      </c>
      <c r="CX60" s="325">
        <v>3.6400000000000002E-2</v>
      </c>
      <c r="CY60" s="325">
        <v>3.6400000000000002E-2</v>
      </c>
      <c r="CZ60" s="325">
        <v>3.6400000000000002E-2</v>
      </c>
      <c r="DA60" s="326">
        <v>3.6400000000000002E-2</v>
      </c>
      <c r="DB60" s="324">
        <v>3.6400000000000002E-2</v>
      </c>
      <c r="DC60" s="325">
        <v>3.6400000000000002E-2</v>
      </c>
      <c r="DD60" s="325">
        <v>3.6400000000000002E-2</v>
      </c>
      <c r="DE60" s="325">
        <v>3.6400000000000002E-2</v>
      </c>
      <c r="DF60" s="325">
        <v>3.6400000000000002E-2</v>
      </c>
      <c r="DG60" s="325">
        <v>3.6400000000000002E-2</v>
      </c>
      <c r="DH60" s="325">
        <v>3.6400000000000002E-2</v>
      </c>
      <c r="DI60" s="325">
        <v>3.6400000000000002E-2</v>
      </c>
      <c r="DJ60" s="325">
        <v>3.6400000000000002E-2</v>
      </c>
      <c r="DK60" s="325">
        <v>3.6400000000000002E-2</v>
      </c>
      <c r="DL60" s="325">
        <v>3.6400000000000002E-2</v>
      </c>
      <c r="DM60" s="325">
        <v>3.6400000000000002E-2</v>
      </c>
      <c r="DN60" s="325">
        <v>3.6400000000000002E-2</v>
      </c>
      <c r="DO60" s="325">
        <v>3.6400000000000002E-2</v>
      </c>
      <c r="DP60" s="325">
        <v>3.6400000000000002E-2</v>
      </c>
      <c r="DQ60" s="325">
        <v>3.6400000000000002E-2</v>
      </c>
      <c r="DR60" s="325">
        <v>3.6400000000000002E-2</v>
      </c>
      <c r="DS60" s="325">
        <v>3.6400000000000002E-2</v>
      </c>
      <c r="DT60" s="325">
        <v>3.6400000000000002E-2</v>
      </c>
      <c r="DU60" s="326">
        <v>3.6400000000000002E-2</v>
      </c>
      <c r="DV60" s="324">
        <v>3.6400000000000002E-2</v>
      </c>
      <c r="DW60" s="325">
        <v>3.6400000000000002E-2</v>
      </c>
      <c r="DX60" s="325">
        <v>3.6400000000000002E-2</v>
      </c>
      <c r="DY60" s="325">
        <v>3.6400000000000002E-2</v>
      </c>
      <c r="DZ60" s="325">
        <v>3.6400000000000002E-2</v>
      </c>
      <c r="EA60" s="325">
        <v>3.6400000000000002E-2</v>
      </c>
      <c r="EB60" s="325">
        <v>3.6400000000000002E-2</v>
      </c>
      <c r="EC60" s="325">
        <v>3.6400000000000002E-2</v>
      </c>
      <c r="ED60" s="325">
        <v>3.6400000000000002E-2</v>
      </c>
      <c r="EE60" s="325">
        <v>3.6400000000000002E-2</v>
      </c>
      <c r="EF60" s="325">
        <v>3.6400000000000002E-2</v>
      </c>
      <c r="EG60" s="325">
        <v>3.6400000000000002E-2</v>
      </c>
      <c r="EH60" s="325">
        <v>3.6400000000000002E-2</v>
      </c>
      <c r="EI60" s="325">
        <v>3.6400000000000002E-2</v>
      </c>
      <c r="EJ60" s="325">
        <v>3.6400000000000002E-2</v>
      </c>
      <c r="EK60" s="325">
        <v>3.6400000000000002E-2</v>
      </c>
      <c r="EL60" s="325">
        <v>3.6400000000000002E-2</v>
      </c>
      <c r="EM60" s="325">
        <v>3.6400000000000002E-2</v>
      </c>
      <c r="EN60" s="325">
        <v>3.6400000000000002E-2</v>
      </c>
      <c r="EO60" s="326">
        <v>3.6400000000000002E-2</v>
      </c>
      <c r="EP60" s="324"/>
      <c r="EQ60" s="325"/>
      <c r="ER60" s="325"/>
      <c r="ES60" s="325"/>
      <c r="ET60" s="325"/>
      <c r="EU60" s="325"/>
      <c r="EV60" s="325"/>
      <c r="EW60" s="325"/>
      <c r="EX60" s="325"/>
      <c r="EY60" s="325"/>
      <c r="EZ60" s="325"/>
      <c r="FA60" s="325"/>
      <c r="FB60" s="325"/>
      <c r="FC60" s="325"/>
      <c r="FD60" s="325"/>
      <c r="FE60" s="325"/>
      <c r="FF60" s="325"/>
      <c r="FG60" s="325"/>
      <c r="FH60" s="325"/>
      <c r="FI60" s="326"/>
      <c r="FJ60" s="324"/>
      <c r="FK60" s="325"/>
      <c r="FL60" s="325"/>
      <c r="FM60" s="325"/>
      <c r="FN60" s="325"/>
      <c r="FO60" s="325"/>
      <c r="FP60" s="325"/>
      <c r="FQ60" s="325"/>
      <c r="FR60" s="325"/>
      <c r="FS60" s="325"/>
      <c r="FT60" s="325"/>
      <c r="FU60" s="325"/>
      <c r="FV60" s="325"/>
      <c r="FW60" s="325"/>
      <c r="FX60" s="325"/>
      <c r="FY60" s="325"/>
      <c r="FZ60" s="325"/>
      <c r="GA60" s="325"/>
      <c r="GB60" s="325"/>
      <c r="GC60" s="326"/>
      <c r="GD60" s="324"/>
      <c r="GE60" s="325"/>
      <c r="GF60" s="325"/>
      <c r="GG60" s="325"/>
      <c r="GH60" s="325"/>
      <c r="GI60" s="325"/>
      <c r="GJ60" s="325"/>
      <c r="GK60" s="325"/>
      <c r="GL60" s="325"/>
      <c r="GM60" s="325"/>
      <c r="GN60" s="325"/>
      <c r="GO60" s="325"/>
      <c r="GP60" s="325"/>
      <c r="GQ60" s="325"/>
      <c r="GR60" s="325"/>
      <c r="GS60" s="325"/>
      <c r="GT60" s="325"/>
      <c r="GU60" s="325"/>
      <c r="GV60" s="325"/>
      <c r="GW60" s="326"/>
      <c r="GX60" s="324"/>
      <c r="GY60" s="325"/>
      <c r="GZ60" s="325"/>
      <c r="HA60" s="325"/>
      <c r="HB60" s="325"/>
      <c r="HC60" s="325"/>
      <c r="HD60" s="325"/>
      <c r="HE60" s="325"/>
      <c r="HF60" s="325"/>
      <c r="HG60" s="325"/>
      <c r="HH60" s="325"/>
      <c r="HI60" s="325"/>
      <c r="HJ60" s="325"/>
      <c r="HK60" s="325"/>
      <c r="HL60" s="325"/>
      <c r="HM60" s="325"/>
      <c r="HN60" s="325"/>
      <c r="HO60" s="325"/>
      <c r="HP60" s="325"/>
      <c r="HQ60" s="326"/>
      <c r="HR60" s="324"/>
      <c r="HS60" s="325"/>
      <c r="HT60" s="325"/>
      <c r="HU60" s="325"/>
      <c r="HV60" s="325"/>
      <c r="HW60" s="325"/>
      <c r="HX60" s="325"/>
      <c r="HY60" s="325"/>
      <c r="HZ60" s="325"/>
      <c r="IA60" s="325"/>
      <c r="IB60" s="325"/>
      <c r="IC60" s="325"/>
      <c r="ID60" s="325"/>
      <c r="IE60" s="325"/>
      <c r="IF60" s="325"/>
      <c r="IG60" s="325"/>
      <c r="IH60" s="325"/>
      <c r="II60" s="325"/>
      <c r="IJ60" s="325"/>
      <c r="IK60" s="326"/>
      <c r="IL60" s="324"/>
      <c r="IM60" s="325"/>
      <c r="IN60" s="325"/>
      <c r="IO60" s="325"/>
      <c r="IP60" s="325"/>
      <c r="IQ60" s="325"/>
      <c r="IR60" s="325"/>
      <c r="IS60" s="325"/>
      <c r="IT60" s="325"/>
      <c r="IU60" s="325"/>
      <c r="IV60" s="325"/>
      <c r="IW60" s="325"/>
      <c r="IX60" s="325"/>
      <c r="IY60" s="325"/>
      <c r="IZ60" s="325"/>
      <c r="JA60" s="325"/>
      <c r="JB60" s="325"/>
      <c r="JC60" s="325"/>
      <c r="JD60" s="325"/>
      <c r="JE60" s="326"/>
    </row>
    <row r="61" spans="2:265" x14ac:dyDescent="0.25">
      <c r="B61" s="102"/>
      <c r="C61" s="72"/>
      <c r="D61" s="102" t="s">
        <v>131</v>
      </c>
      <c r="E61" s="102" t="s">
        <v>251</v>
      </c>
      <c r="F61" s="324">
        <v>3.6400000000000002E-2</v>
      </c>
      <c r="G61" s="325">
        <v>3.6400000000000002E-2</v>
      </c>
      <c r="H61" s="325">
        <v>3.6400000000000002E-2</v>
      </c>
      <c r="I61" s="325">
        <v>3.6400000000000002E-2</v>
      </c>
      <c r="J61" s="325">
        <v>3.6400000000000002E-2</v>
      </c>
      <c r="K61" s="325">
        <v>3.6400000000000002E-2</v>
      </c>
      <c r="L61" s="325">
        <v>3.6400000000000002E-2</v>
      </c>
      <c r="M61" s="325">
        <v>3.6400000000000002E-2</v>
      </c>
      <c r="N61" s="325">
        <v>3.6400000000000002E-2</v>
      </c>
      <c r="O61" s="325">
        <v>4.5845800000000008</v>
      </c>
      <c r="P61" s="325">
        <v>3.6400000000000002E-2</v>
      </c>
      <c r="Q61" s="325">
        <v>3.6400000000000002E-2</v>
      </c>
      <c r="R61" s="325">
        <v>3.6400000000000002E-2</v>
      </c>
      <c r="S61" s="325">
        <v>0.22112999999999999</v>
      </c>
      <c r="T61" s="325">
        <v>3.6400000000000002E-2</v>
      </c>
      <c r="U61" s="325">
        <v>3.6400000000000002E-2</v>
      </c>
      <c r="V61" s="325">
        <v>3.6400000000000002E-2</v>
      </c>
      <c r="W61" s="325">
        <v>0.64154999999999995</v>
      </c>
      <c r="X61" s="325">
        <v>3.6400000000000002E-2</v>
      </c>
      <c r="Y61" s="326">
        <v>3.6400000000000002E-2</v>
      </c>
      <c r="Z61" s="324">
        <v>4.5845800000000008</v>
      </c>
      <c r="AA61" s="325">
        <v>3.6400000000000002E-2</v>
      </c>
      <c r="AB61" s="325">
        <v>3.6400000000000002E-2</v>
      </c>
      <c r="AC61" s="325">
        <v>3.6400000000000002E-2</v>
      </c>
      <c r="AD61" s="325">
        <v>0.22112999999999999</v>
      </c>
      <c r="AE61" s="325">
        <v>3.6400000000000002E-2</v>
      </c>
      <c r="AF61" s="325">
        <v>3.6400000000000002E-2</v>
      </c>
      <c r="AG61" s="325">
        <v>3.6400000000000002E-2</v>
      </c>
      <c r="AH61" s="325">
        <v>0.64154999999999995</v>
      </c>
      <c r="AI61" s="325">
        <v>4.5845800000000008</v>
      </c>
      <c r="AJ61" s="325">
        <v>3.6400000000000002E-2</v>
      </c>
      <c r="AK61" s="325">
        <v>3.6400000000000002E-2</v>
      </c>
      <c r="AL61" s="325">
        <v>0.22112999999999999</v>
      </c>
      <c r="AM61" s="325">
        <v>0.22112999999999999</v>
      </c>
      <c r="AN61" s="325">
        <v>3.6400000000000002E-2</v>
      </c>
      <c r="AO61" s="325">
        <v>3.6400000000000002E-2</v>
      </c>
      <c r="AP61" s="325">
        <v>0.64154999999999995</v>
      </c>
      <c r="AQ61" s="325">
        <v>0.64154999999999995</v>
      </c>
      <c r="AR61" s="325">
        <v>3.6400000000000002E-2</v>
      </c>
      <c r="AS61" s="326">
        <v>3.6400000000000002E-2</v>
      </c>
      <c r="AT61" s="324">
        <v>3.6400000000000002E-2</v>
      </c>
      <c r="AU61" s="325">
        <v>4.5845800000000008</v>
      </c>
      <c r="AV61" s="325">
        <v>3.6400000000000002E-2</v>
      </c>
      <c r="AW61" s="325">
        <v>3.6400000000000002E-2</v>
      </c>
      <c r="AX61" s="325">
        <v>3.6400000000000002E-2</v>
      </c>
      <c r="AY61" s="325">
        <v>0.22112999999999999</v>
      </c>
      <c r="AZ61" s="325">
        <v>3.6400000000000002E-2</v>
      </c>
      <c r="BA61" s="325">
        <v>3.6400000000000002E-2</v>
      </c>
      <c r="BB61" s="325">
        <v>3.6400000000000002E-2</v>
      </c>
      <c r="BC61" s="325">
        <v>0.64154999999999995</v>
      </c>
      <c r="BD61" s="325">
        <v>3.6400000000000002E-2</v>
      </c>
      <c r="BE61" s="325">
        <v>3.6400000000000002E-2</v>
      </c>
      <c r="BF61" s="325">
        <v>3.6400000000000002E-2</v>
      </c>
      <c r="BG61" s="325">
        <v>0.22112999999999999</v>
      </c>
      <c r="BH61" s="325">
        <v>3.6400000000000002E-2</v>
      </c>
      <c r="BI61" s="325">
        <v>3.6400000000000002E-2</v>
      </c>
      <c r="BJ61" s="325">
        <v>3.6400000000000002E-2</v>
      </c>
      <c r="BK61" s="325">
        <v>0.64154999999999995</v>
      </c>
      <c r="BL61" s="325">
        <v>3.6400000000000002E-2</v>
      </c>
      <c r="BM61" s="326">
        <v>3.6400000000000002E-2</v>
      </c>
      <c r="BN61" s="324">
        <v>3.6400000000000002E-2</v>
      </c>
      <c r="BO61" s="325">
        <v>3.6400000000000002E-2</v>
      </c>
      <c r="BP61" s="325">
        <v>4.5845800000000008</v>
      </c>
      <c r="BQ61" s="325">
        <v>3.6400000000000002E-2</v>
      </c>
      <c r="BR61" s="325">
        <v>3.6400000000000002E-2</v>
      </c>
      <c r="BS61" s="325">
        <v>3.6400000000000002E-2</v>
      </c>
      <c r="BT61" s="325">
        <v>0.22112999999999999</v>
      </c>
      <c r="BU61" s="325">
        <v>3.6400000000000002E-2</v>
      </c>
      <c r="BV61" s="325">
        <v>3.6400000000000002E-2</v>
      </c>
      <c r="BW61" s="325">
        <v>3.6400000000000002E-2</v>
      </c>
      <c r="BX61" s="325">
        <v>0.64154999999999995</v>
      </c>
      <c r="BY61" s="325">
        <v>3.6400000000000002E-2</v>
      </c>
      <c r="BZ61" s="325">
        <v>3.6400000000000002E-2</v>
      </c>
      <c r="CA61" s="325">
        <v>3.6400000000000002E-2</v>
      </c>
      <c r="CB61" s="325">
        <v>0.22112999999999999</v>
      </c>
      <c r="CC61" s="325">
        <v>3.6400000000000002E-2</v>
      </c>
      <c r="CD61" s="325">
        <v>3.6400000000000002E-2</v>
      </c>
      <c r="CE61" s="325">
        <v>3.6400000000000002E-2</v>
      </c>
      <c r="CF61" s="325">
        <v>0.64154999999999995</v>
      </c>
      <c r="CG61" s="326">
        <v>3.6400000000000002E-2</v>
      </c>
      <c r="CH61" s="324">
        <v>3.6400000000000002E-2</v>
      </c>
      <c r="CI61" s="325">
        <v>3.6400000000000002E-2</v>
      </c>
      <c r="CJ61" s="325">
        <v>3.6400000000000002E-2</v>
      </c>
      <c r="CK61" s="325">
        <v>4.5845800000000008</v>
      </c>
      <c r="CL61" s="325">
        <v>3.6400000000000002E-2</v>
      </c>
      <c r="CM61" s="325">
        <v>3.6400000000000002E-2</v>
      </c>
      <c r="CN61" s="325">
        <v>3.6400000000000002E-2</v>
      </c>
      <c r="CO61" s="325">
        <v>0.22112999999999999</v>
      </c>
      <c r="CP61" s="325">
        <v>3.6400000000000002E-2</v>
      </c>
      <c r="CQ61" s="325">
        <v>3.6400000000000002E-2</v>
      </c>
      <c r="CR61" s="325">
        <v>3.6400000000000002E-2</v>
      </c>
      <c r="CS61" s="325">
        <v>0.64154999999999995</v>
      </c>
      <c r="CT61" s="325">
        <v>3.6400000000000002E-2</v>
      </c>
      <c r="CU61" s="325">
        <v>3.6400000000000002E-2</v>
      </c>
      <c r="CV61" s="325">
        <v>3.6400000000000002E-2</v>
      </c>
      <c r="CW61" s="325">
        <v>0.22112999999999999</v>
      </c>
      <c r="CX61" s="325">
        <v>3.6400000000000002E-2</v>
      </c>
      <c r="CY61" s="325">
        <v>3.6400000000000002E-2</v>
      </c>
      <c r="CZ61" s="325">
        <v>3.6400000000000002E-2</v>
      </c>
      <c r="DA61" s="326">
        <v>0.64154999999999995</v>
      </c>
      <c r="DB61" s="324">
        <v>3.6400000000000002E-2</v>
      </c>
      <c r="DC61" s="325">
        <v>3.6400000000000002E-2</v>
      </c>
      <c r="DD61" s="325">
        <v>3.6400000000000002E-2</v>
      </c>
      <c r="DE61" s="325">
        <v>3.6400000000000002E-2</v>
      </c>
      <c r="DF61" s="325">
        <v>4.5845800000000008</v>
      </c>
      <c r="DG61" s="325">
        <v>3.6400000000000002E-2</v>
      </c>
      <c r="DH61" s="325">
        <v>3.6400000000000002E-2</v>
      </c>
      <c r="DI61" s="325">
        <v>3.6400000000000002E-2</v>
      </c>
      <c r="DJ61" s="325">
        <v>0.22112999999999999</v>
      </c>
      <c r="DK61" s="325">
        <v>3.6400000000000002E-2</v>
      </c>
      <c r="DL61" s="325">
        <v>3.6400000000000002E-2</v>
      </c>
      <c r="DM61" s="325">
        <v>3.6400000000000002E-2</v>
      </c>
      <c r="DN61" s="325">
        <v>0.64154999999999995</v>
      </c>
      <c r="DO61" s="325">
        <v>3.6400000000000002E-2</v>
      </c>
      <c r="DP61" s="325">
        <v>3.6400000000000002E-2</v>
      </c>
      <c r="DQ61" s="325">
        <v>3.6400000000000002E-2</v>
      </c>
      <c r="DR61" s="325">
        <v>0.22112999999999999</v>
      </c>
      <c r="DS61" s="325">
        <v>3.6400000000000002E-2</v>
      </c>
      <c r="DT61" s="325">
        <v>3.6400000000000002E-2</v>
      </c>
      <c r="DU61" s="326">
        <v>3.6400000000000002E-2</v>
      </c>
      <c r="DV61" s="324">
        <v>3.6400000000000002E-2</v>
      </c>
      <c r="DW61" s="325">
        <v>3.6400000000000002E-2</v>
      </c>
      <c r="DX61" s="325">
        <v>3.6400000000000002E-2</v>
      </c>
      <c r="DY61" s="325">
        <v>3.6400000000000002E-2</v>
      </c>
      <c r="DZ61" s="325">
        <v>3.6400000000000002E-2</v>
      </c>
      <c r="EA61" s="325">
        <v>4.5845800000000008</v>
      </c>
      <c r="EB61" s="325">
        <v>3.6400000000000002E-2</v>
      </c>
      <c r="EC61" s="325">
        <v>3.6400000000000002E-2</v>
      </c>
      <c r="ED61" s="325">
        <v>3.6400000000000002E-2</v>
      </c>
      <c r="EE61" s="325">
        <v>0.22112999999999999</v>
      </c>
      <c r="EF61" s="325">
        <v>3.6400000000000002E-2</v>
      </c>
      <c r="EG61" s="325">
        <v>3.6400000000000002E-2</v>
      </c>
      <c r="EH61" s="325">
        <v>3.6400000000000002E-2</v>
      </c>
      <c r="EI61" s="325">
        <v>0.64154999999999995</v>
      </c>
      <c r="EJ61" s="325">
        <v>3.6400000000000002E-2</v>
      </c>
      <c r="EK61" s="325">
        <v>3.6400000000000002E-2</v>
      </c>
      <c r="EL61" s="325">
        <v>3.6400000000000002E-2</v>
      </c>
      <c r="EM61" s="325">
        <v>0.22112999999999999</v>
      </c>
      <c r="EN61" s="325">
        <v>3.6400000000000002E-2</v>
      </c>
      <c r="EO61" s="326">
        <v>3.6400000000000002E-2</v>
      </c>
      <c r="EP61" s="324"/>
      <c r="EQ61" s="325"/>
      <c r="ER61" s="325"/>
      <c r="ES61" s="325"/>
      <c r="ET61" s="325"/>
      <c r="EU61" s="325"/>
      <c r="EV61" s="325"/>
      <c r="EW61" s="325"/>
      <c r="EX61" s="325"/>
      <c r="EY61" s="325"/>
      <c r="EZ61" s="325"/>
      <c r="FA61" s="325"/>
      <c r="FB61" s="325"/>
      <c r="FC61" s="325"/>
      <c r="FD61" s="325"/>
      <c r="FE61" s="325"/>
      <c r="FF61" s="325"/>
      <c r="FG61" s="325"/>
      <c r="FH61" s="325"/>
      <c r="FI61" s="326"/>
      <c r="FJ61" s="324"/>
      <c r="FK61" s="325"/>
      <c r="FL61" s="325"/>
      <c r="FM61" s="325"/>
      <c r="FN61" s="325"/>
      <c r="FO61" s="325"/>
      <c r="FP61" s="325"/>
      <c r="FQ61" s="325"/>
      <c r="FR61" s="325"/>
      <c r="FS61" s="325"/>
      <c r="FT61" s="325"/>
      <c r="FU61" s="325"/>
      <c r="FV61" s="325"/>
      <c r="FW61" s="325"/>
      <c r="FX61" s="325"/>
      <c r="FY61" s="325"/>
      <c r="FZ61" s="325"/>
      <c r="GA61" s="325"/>
      <c r="GB61" s="325"/>
      <c r="GC61" s="326"/>
      <c r="GD61" s="324"/>
      <c r="GE61" s="325"/>
      <c r="GF61" s="325"/>
      <c r="GG61" s="325"/>
      <c r="GH61" s="325"/>
      <c r="GI61" s="325"/>
      <c r="GJ61" s="325"/>
      <c r="GK61" s="325"/>
      <c r="GL61" s="325"/>
      <c r="GM61" s="325"/>
      <c r="GN61" s="325"/>
      <c r="GO61" s="325"/>
      <c r="GP61" s="325"/>
      <c r="GQ61" s="325"/>
      <c r="GR61" s="325"/>
      <c r="GS61" s="325"/>
      <c r="GT61" s="325"/>
      <c r="GU61" s="325"/>
      <c r="GV61" s="325"/>
      <c r="GW61" s="326"/>
      <c r="GX61" s="324"/>
      <c r="GY61" s="325"/>
      <c r="GZ61" s="325"/>
      <c r="HA61" s="325"/>
      <c r="HB61" s="325"/>
      <c r="HC61" s="325"/>
      <c r="HD61" s="325"/>
      <c r="HE61" s="325"/>
      <c r="HF61" s="325"/>
      <c r="HG61" s="325"/>
      <c r="HH61" s="325"/>
      <c r="HI61" s="325"/>
      <c r="HJ61" s="325"/>
      <c r="HK61" s="325"/>
      <c r="HL61" s="325"/>
      <c r="HM61" s="325"/>
      <c r="HN61" s="325"/>
      <c r="HO61" s="325"/>
      <c r="HP61" s="325"/>
      <c r="HQ61" s="326"/>
      <c r="HR61" s="324"/>
      <c r="HS61" s="325"/>
      <c r="HT61" s="325"/>
      <c r="HU61" s="325"/>
      <c r="HV61" s="325"/>
      <c r="HW61" s="325"/>
      <c r="HX61" s="325"/>
      <c r="HY61" s="325"/>
      <c r="HZ61" s="325"/>
      <c r="IA61" s="325"/>
      <c r="IB61" s="325"/>
      <c r="IC61" s="325"/>
      <c r="ID61" s="325"/>
      <c r="IE61" s="325"/>
      <c r="IF61" s="325"/>
      <c r="IG61" s="325"/>
      <c r="IH61" s="325"/>
      <c r="II61" s="325"/>
      <c r="IJ61" s="325"/>
      <c r="IK61" s="326"/>
      <c r="IL61" s="324"/>
      <c r="IM61" s="325"/>
      <c r="IN61" s="325"/>
      <c r="IO61" s="325"/>
      <c r="IP61" s="325"/>
      <c r="IQ61" s="325"/>
      <c r="IR61" s="325"/>
      <c r="IS61" s="325"/>
      <c r="IT61" s="325"/>
      <c r="IU61" s="325"/>
      <c r="IV61" s="325"/>
      <c r="IW61" s="325"/>
      <c r="IX61" s="325"/>
      <c r="IY61" s="325"/>
      <c r="IZ61" s="325"/>
      <c r="JA61" s="325"/>
      <c r="JB61" s="325"/>
      <c r="JC61" s="325"/>
      <c r="JD61" s="325"/>
      <c r="JE61" s="326"/>
    </row>
    <row r="62" spans="2:265" x14ac:dyDescent="0.25">
      <c r="B62" s="102"/>
      <c r="C62" s="303" t="s">
        <v>208</v>
      </c>
      <c r="D62" s="101" t="s">
        <v>187</v>
      </c>
      <c r="E62" s="101" t="s">
        <v>251</v>
      </c>
      <c r="F62" s="321">
        <v>3.6668579751783903</v>
      </c>
      <c r="G62" s="322">
        <v>3.9260254236420566</v>
      </c>
      <c r="H62" s="322">
        <v>4.204816599172652</v>
      </c>
      <c r="I62" s="322">
        <v>4.5048094089747863</v>
      </c>
      <c r="J62" s="322">
        <v>4.8277123081416118</v>
      </c>
      <c r="K62" s="322">
        <v>5.1753747760609699</v>
      </c>
      <c r="L62" s="322">
        <v>5.5497985130079632</v>
      </c>
      <c r="M62" s="322">
        <v>5.9531493804754554</v>
      </c>
      <c r="N62" s="322">
        <v>6.3877701036727546</v>
      </c>
      <c r="O62" s="322">
        <v>4.940340237008944</v>
      </c>
      <c r="P62" s="322">
        <v>5.2379163137464024</v>
      </c>
      <c r="Q62" s="322">
        <v>5.5535212028306962</v>
      </c>
      <c r="R62" s="322">
        <v>5.8882599144318757</v>
      </c>
      <c r="S62" s="322">
        <v>6.2433066730911619</v>
      </c>
      <c r="T62" s="322">
        <v>6.6199094202212265</v>
      </c>
      <c r="U62" s="322">
        <v>7.0193946274298229</v>
      </c>
      <c r="V62" s="322">
        <v>7.4431724439260138</v>
      </c>
      <c r="W62" s="322">
        <v>7.8960640933965456</v>
      </c>
      <c r="X62" s="322">
        <v>8.3734753623094438</v>
      </c>
      <c r="Y62" s="323">
        <v>8.8800265659063022</v>
      </c>
      <c r="Z62" s="321">
        <v>2.9241797956011544</v>
      </c>
      <c r="AA62" s="322">
        <v>3.1003146182053496</v>
      </c>
      <c r="AB62" s="322">
        <v>3.2871206671369069</v>
      </c>
      <c r="AC62" s="322">
        <v>3.4852519962176656</v>
      </c>
      <c r="AD62" s="322">
        <v>3.6954036271494131</v>
      </c>
      <c r="AE62" s="322">
        <v>3.9183142145368843</v>
      </c>
      <c r="AF62" s="322">
        <v>4.1547688948866259</v>
      </c>
      <c r="AG62" s="322">
        <v>4.4056023333488321</v>
      </c>
      <c r="AH62" s="322">
        <v>4.6736682048160159</v>
      </c>
      <c r="AI62" s="322">
        <v>4.956247201357483</v>
      </c>
      <c r="AJ62" s="322">
        <v>5.2560740804657469</v>
      </c>
      <c r="AK62" s="322">
        <v>5.5742207338554017</v>
      </c>
      <c r="AL62" s="322">
        <v>5.9118278333293883</v>
      </c>
      <c r="AM62" s="322">
        <v>6.2701094790257903</v>
      </c>
      <c r="AN62" s="322">
        <v>6.6503581857952696</v>
      </c>
      <c r="AO62" s="322">
        <v>7.0539502345540281</v>
      </c>
      <c r="AP62" s="322">
        <v>7.4491170692420221</v>
      </c>
      <c r="AQ62" s="322">
        <v>7.8995050587824958</v>
      </c>
      <c r="AR62" s="322">
        <v>8.3773835527417955</v>
      </c>
      <c r="AS62" s="323">
        <v>8.8844609836653277</v>
      </c>
      <c r="AT62" s="321">
        <v>3.6668579751783903</v>
      </c>
      <c r="AU62" s="322">
        <v>3.0996305833372237</v>
      </c>
      <c r="AV62" s="322">
        <v>3.2863334952976699</v>
      </c>
      <c r="AW62" s="322">
        <v>3.4843479071651213</v>
      </c>
      <c r="AX62" s="322">
        <v>3.6943671159907252</v>
      </c>
      <c r="AY62" s="322">
        <v>3.9171278447783773</v>
      </c>
      <c r="AZ62" s="322">
        <v>4.1534130674090974</v>
      </c>
      <c r="BA62" s="322">
        <v>4.4040550285798226</v>
      </c>
      <c r="BB62" s="322">
        <v>4.6699384733497604</v>
      </c>
      <c r="BC62" s="322">
        <v>4.9540882971049767</v>
      </c>
      <c r="BD62" s="322">
        <v>5.2536220334389316</v>
      </c>
      <c r="BE62" s="322">
        <v>5.5714385252936927</v>
      </c>
      <c r="BF62" s="322">
        <v>5.9086739778867265</v>
      </c>
      <c r="BG62" s="322">
        <v>6.2665375033291513</v>
      </c>
      <c r="BH62" s="322">
        <v>6.6463160477673364</v>
      </c>
      <c r="BI62" s="322">
        <v>7.0493796769429871</v>
      </c>
      <c r="BJ62" s="322">
        <v>7.4771872486272688</v>
      </c>
      <c r="BK62" s="322">
        <v>7.8960640933965456</v>
      </c>
      <c r="BL62" s="322">
        <v>8.3734753623094438</v>
      </c>
      <c r="BM62" s="323">
        <v>8.8800265659063022</v>
      </c>
      <c r="BN62" s="321">
        <v>3.6668579751783903</v>
      </c>
      <c r="BO62" s="322">
        <v>3.9260254236420566</v>
      </c>
      <c r="BP62" s="322">
        <v>3.285608418337457</v>
      </c>
      <c r="BQ62" s="322">
        <v>3.4835135050155306</v>
      </c>
      <c r="BR62" s="322">
        <v>3.6934087815950281</v>
      </c>
      <c r="BS62" s="322">
        <v>3.916029142950169</v>
      </c>
      <c r="BT62" s="322">
        <v>4.1521555154650809</v>
      </c>
      <c r="BU62" s="322">
        <v>4.402617851453642</v>
      </c>
      <c r="BV62" s="322">
        <v>4.6682983302946131</v>
      </c>
      <c r="BW62" s="322">
        <v>4.9501347817507471</v>
      </c>
      <c r="BX62" s="322">
        <v>5.2513335949312765</v>
      </c>
      <c r="BY62" s="322">
        <v>5.5688393554452675</v>
      </c>
      <c r="BZ62" s="322">
        <v>5.9057248368113129</v>
      </c>
      <c r="CA62" s="322">
        <v>6.2631944165599309</v>
      </c>
      <c r="CB62" s="322">
        <v>6.6425297535289003</v>
      </c>
      <c r="CC62" s="322">
        <v>7.0450950106333785</v>
      </c>
      <c r="CD62" s="322">
        <v>7.4723424575595647</v>
      </c>
      <c r="CE62" s="322">
        <v>7.9258184835449077</v>
      </c>
      <c r="CF62" s="322">
        <v>8.3698279390003361</v>
      </c>
      <c r="CG62" s="323">
        <v>8.8758838840480117</v>
      </c>
      <c r="CH62" s="321">
        <v>3.6668579751783903</v>
      </c>
      <c r="CI62" s="322">
        <v>3.9260254236420566</v>
      </c>
      <c r="CJ62" s="322">
        <v>4.204816599172652</v>
      </c>
      <c r="CK62" s="322">
        <v>3.4827449234377044</v>
      </c>
      <c r="CL62" s="322">
        <v>3.6925243153164624</v>
      </c>
      <c r="CM62" s="322">
        <v>3.9150133084907304</v>
      </c>
      <c r="CN62" s="322">
        <v>4.1509908915271794</v>
      </c>
      <c r="CO62" s="322">
        <v>4.4012848463929855</v>
      </c>
      <c r="CP62" s="322">
        <v>4.6667749225408608</v>
      </c>
      <c r="CQ62" s="322">
        <v>4.9483962301122899</v>
      </c>
      <c r="CR62" s="322">
        <v>5.2471428686557919</v>
      </c>
      <c r="CS62" s="322">
        <v>5.5664136106271531</v>
      </c>
      <c r="CT62" s="322">
        <v>5.9029697167719837</v>
      </c>
      <c r="CU62" s="322">
        <v>6.2600683270199919</v>
      </c>
      <c r="CV62" s="322">
        <v>6.6389860815535267</v>
      </c>
      <c r="CW62" s="322">
        <v>7.0410815387406345</v>
      </c>
      <c r="CX62" s="322">
        <v>7.46780071127138</v>
      </c>
      <c r="CY62" s="322">
        <v>7.9206830050131378</v>
      </c>
      <c r="CZ62" s="322">
        <v>8.4013675925575999</v>
      </c>
      <c r="DA62" s="323">
        <v>8.8720176153403578</v>
      </c>
      <c r="DB62" s="321">
        <v>3.6668579751783903</v>
      </c>
      <c r="DC62" s="322">
        <v>3.9260254236420566</v>
      </c>
      <c r="DD62" s="322">
        <v>4.204816599172652</v>
      </c>
      <c r="DE62" s="322">
        <v>4.5048094089747863</v>
      </c>
      <c r="DF62" s="322">
        <v>3.6917096188439666</v>
      </c>
      <c r="DG62" s="322">
        <v>3.9140757742354504</v>
      </c>
      <c r="DH62" s="322">
        <v>4.1499141070001748</v>
      </c>
      <c r="DI62" s="322">
        <v>4.4000503450188093</v>
      </c>
      <c r="DJ62" s="322">
        <v>4.6653619371765647</v>
      </c>
      <c r="DK62" s="322">
        <v>4.9467814178933134</v>
      </c>
      <c r="DL62" s="322">
        <v>5.2453000039190281</v>
      </c>
      <c r="DM62" s="322">
        <v>5.5619714407751388</v>
      </c>
      <c r="DN62" s="322">
        <v>5.9003984272647809</v>
      </c>
      <c r="DO62" s="322">
        <v>6.2571478997783023</v>
      </c>
      <c r="DP62" s="322">
        <v>6.6356724266411913</v>
      </c>
      <c r="DQ62" s="322">
        <v>7.0373252464467368</v>
      </c>
      <c r="DR62" s="322">
        <v>7.4635464310650725</v>
      </c>
      <c r="DS62" s="322">
        <v>7.9158687539476622</v>
      </c>
      <c r="DT62" s="322">
        <v>8.3959239853139263</v>
      </c>
      <c r="DU62" s="323">
        <v>8.9054496481110572</v>
      </c>
      <c r="DV62" s="321">
        <v>3.6668579751783903</v>
      </c>
      <c r="DW62" s="322">
        <v>3.9260254236420566</v>
      </c>
      <c r="DX62" s="322">
        <v>4.204816599172652</v>
      </c>
      <c r="DY62" s="322">
        <v>4.5048094089747863</v>
      </c>
      <c r="DZ62" s="322">
        <v>4.8277123081416118</v>
      </c>
      <c r="EA62" s="322">
        <v>3.9132121959746042</v>
      </c>
      <c r="EB62" s="322">
        <v>4.1489203206895775</v>
      </c>
      <c r="EC62" s="322">
        <v>4.3989089534201851</v>
      </c>
      <c r="ED62" s="322">
        <v>4.6640533657199379</v>
      </c>
      <c r="EE62" s="322">
        <v>4.9452836534071585</v>
      </c>
      <c r="EF62" s="322">
        <v>5.2435883029669119</v>
      </c>
      <c r="EG62" s="322">
        <v>5.5600180041541689</v>
      </c>
      <c r="EH62" s="322">
        <v>5.8956897272216473</v>
      </c>
      <c r="EI62" s="322">
        <v>6.2544223329006687</v>
      </c>
      <c r="EJ62" s="322">
        <v>6.632576773764999</v>
      </c>
      <c r="EK62" s="322">
        <v>7.0338127722396635</v>
      </c>
      <c r="EL62" s="322">
        <v>7.4595647612335414</v>
      </c>
      <c r="EM62" s="322">
        <v>7.911359216928977</v>
      </c>
      <c r="EN62" s="322">
        <v>8.3908208791845205</v>
      </c>
      <c r="EO62" s="323">
        <v>8.8996794244327635</v>
      </c>
      <c r="EP62" s="321"/>
      <c r="EQ62" s="322"/>
      <c r="ER62" s="322"/>
      <c r="ES62" s="322"/>
      <c r="ET62" s="322"/>
      <c r="EU62" s="322"/>
      <c r="EV62" s="322"/>
      <c r="EW62" s="322"/>
      <c r="EX62" s="322"/>
      <c r="EY62" s="322"/>
      <c r="EZ62" s="322"/>
      <c r="FA62" s="322"/>
      <c r="FB62" s="322"/>
      <c r="FC62" s="322"/>
      <c r="FD62" s="322"/>
      <c r="FE62" s="322"/>
      <c r="FF62" s="322"/>
      <c r="FG62" s="322"/>
      <c r="FH62" s="322"/>
      <c r="FI62" s="323"/>
      <c r="FJ62" s="321"/>
      <c r="FK62" s="322"/>
      <c r="FL62" s="322"/>
      <c r="FM62" s="322"/>
      <c r="FN62" s="322"/>
      <c r="FO62" s="322"/>
      <c r="FP62" s="322"/>
      <c r="FQ62" s="322"/>
      <c r="FR62" s="322"/>
      <c r="FS62" s="322"/>
      <c r="FT62" s="322"/>
      <c r="FU62" s="322"/>
      <c r="FV62" s="322"/>
      <c r="FW62" s="322"/>
      <c r="FX62" s="322"/>
      <c r="FY62" s="322"/>
      <c r="FZ62" s="322"/>
      <c r="GA62" s="322"/>
      <c r="GB62" s="322"/>
      <c r="GC62" s="323"/>
      <c r="GD62" s="321"/>
      <c r="GE62" s="322"/>
      <c r="GF62" s="322"/>
      <c r="GG62" s="322"/>
      <c r="GH62" s="322"/>
      <c r="GI62" s="322"/>
      <c r="GJ62" s="322"/>
      <c r="GK62" s="322"/>
      <c r="GL62" s="322"/>
      <c r="GM62" s="322"/>
      <c r="GN62" s="322"/>
      <c r="GO62" s="322"/>
      <c r="GP62" s="322"/>
      <c r="GQ62" s="322"/>
      <c r="GR62" s="322"/>
      <c r="GS62" s="322"/>
      <c r="GT62" s="322"/>
      <c r="GU62" s="322"/>
      <c r="GV62" s="322"/>
      <c r="GW62" s="323"/>
      <c r="GX62" s="321"/>
      <c r="GY62" s="322"/>
      <c r="GZ62" s="322"/>
      <c r="HA62" s="322"/>
      <c r="HB62" s="322"/>
      <c r="HC62" s="322"/>
      <c r="HD62" s="322"/>
      <c r="HE62" s="322"/>
      <c r="HF62" s="322"/>
      <c r="HG62" s="322"/>
      <c r="HH62" s="322"/>
      <c r="HI62" s="322"/>
      <c r="HJ62" s="322"/>
      <c r="HK62" s="322"/>
      <c r="HL62" s="322"/>
      <c r="HM62" s="322"/>
      <c r="HN62" s="322"/>
      <c r="HO62" s="322"/>
      <c r="HP62" s="322"/>
      <c r="HQ62" s="323"/>
      <c r="HR62" s="321"/>
      <c r="HS62" s="322"/>
      <c r="HT62" s="322"/>
      <c r="HU62" s="322"/>
      <c r="HV62" s="322"/>
      <c r="HW62" s="322"/>
      <c r="HX62" s="322"/>
      <c r="HY62" s="322"/>
      <c r="HZ62" s="322"/>
      <c r="IA62" s="322"/>
      <c r="IB62" s="322"/>
      <c r="IC62" s="322"/>
      <c r="ID62" s="322"/>
      <c r="IE62" s="322"/>
      <c r="IF62" s="322"/>
      <c r="IG62" s="322"/>
      <c r="IH62" s="322"/>
      <c r="II62" s="322"/>
      <c r="IJ62" s="322"/>
      <c r="IK62" s="323"/>
      <c r="IL62" s="321"/>
      <c r="IM62" s="322"/>
      <c r="IN62" s="322"/>
      <c r="IO62" s="322"/>
      <c r="IP62" s="322"/>
      <c r="IQ62" s="322"/>
      <c r="IR62" s="322"/>
      <c r="IS62" s="322"/>
      <c r="IT62" s="322"/>
      <c r="IU62" s="322"/>
      <c r="IV62" s="322"/>
      <c r="IW62" s="322"/>
      <c r="IX62" s="322"/>
      <c r="IY62" s="322"/>
      <c r="IZ62" s="322"/>
      <c r="JA62" s="322"/>
      <c r="JB62" s="322"/>
      <c r="JC62" s="322"/>
      <c r="JD62" s="322"/>
      <c r="JE62" s="323"/>
    </row>
    <row r="63" spans="2:265" x14ac:dyDescent="0.25">
      <c r="B63" s="102"/>
      <c r="C63" s="223" t="s">
        <v>209</v>
      </c>
      <c r="D63" s="102" t="s">
        <v>204</v>
      </c>
      <c r="E63" s="102" t="s">
        <v>251</v>
      </c>
      <c r="F63" s="324">
        <v>0.64326076250838737</v>
      </c>
      <c r="G63" s="325">
        <v>0.70085107158057092</v>
      </c>
      <c r="H63" s="325">
        <v>0.7643688035176156</v>
      </c>
      <c r="I63" s="325">
        <v>0.83445764300778846</v>
      </c>
      <c r="J63" s="325">
        <v>0.91181481275235621</v>
      </c>
      <c r="K63" s="325">
        <v>0.99718554105446011</v>
      </c>
      <c r="L63" s="325">
        <v>1.0913518209750919</v>
      </c>
      <c r="M63" s="325">
        <v>1.1951130445996094</v>
      </c>
      <c r="N63" s="325">
        <v>1.3092554281030153</v>
      </c>
      <c r="O63" s="325">
        <v>0.63290661464235842</v>
      </c>
      <c r="P63" s="325">
        <v>0.67113450753702386</v>
      </c>
      <c r="Q63" s="325">
        <v>0.71169943587692497</v>
      </c>
      <c r="R63" s="325">
        <v>0.75474772031489901</v>
      </c>
      <c r="S63" s="325">
        <v>0.80043524709282998</v>
      </c>
      <c r="T63" s="325">
        <v>0.84892813896140795</v>
      </c>
      <c r="U63" s="325">
        <v>0.90040347807418397</v>
      </c>
      <c r="V63" s="325">
        <v>0.9550500853870908</v>
      </c>
      <c r="W63" s="325">
        <v>1.0138752576080106</v>
      </c>
      <c r="X63" s="325">
        <v>1.0756001073536599</v>
      </c>
      <c r="Y63" s="326">
        <v>1.141157411597068</v>
      </c>
      <c r="Z63" s="324">
        <v>0.37461645276480171</v>
      </c>
      <c r="AA63" s="325">
        <v>0.39724348383314456</v>
      </c>
      <c r="AB63" s="325">
        <v>0.42125380259073758</v>
      </c>
      <c r="AC63" s="325">
        <v>0.44673401600717788</v>
      </c>
      <c r="AD63" s="325">
        <v>0.47377639290952223</v>
      </c>
      <c r="AE63" s="325">
        <v>0.50247926109866115</v>
      </c>
      <c r="AF63" s="325">
        <v>0.53294743522920029</v>
      </c>
      <c r="AG63" s="325">
        <v>0.56529267813483841</v>
      </c>
      <c r="AH63" s="325">
        <v>0.60011120718929001</v>
      </c>
      <c r="AI63" s="325">
        <v>0.63664605091536164</v>
      </c>
      <c r="AJ63" s="325">
        <v>0.67544931857020507</v>
      </c>
      <c r="AK63" s="325">
        <v>0.71666710654461785</v>
      </c>
      <c r="AL63" s="325">
        <v>0.76045552177419851</v>
      </c>
      <c r="AM63" s="325">
        <v>0.80698143398873334</v>
      </c>
      <c r="AN63" s="325">
        <v>0.85642329150400531</v>
      </c>
      <c r="AO63" s="325">
        <v>0.90897200663461419</v>
      </c>
      <c r="AP63" s="325">
        <v>0.95648609208302882</v>
      </c>
      <c r="AQ63" s="325">
        <v>1.0147170824091132</v>
      </c>
      <c r="AR63" s="325">
        <v>1.0765635958462905</v>
      </c>
      <c r="AS63" s="326">
        <v>1.1422584878457287</v>
      </c>
      <c r="AT63" s="324">
        <v>0.64326076250838737</v>
      </c>
      <c r="AU63" s="325">
        <v>0.3970934399306898</v>
      </c>
      <c r="AV63" s="325">
        <v>0.42107809286313319</v>
      </c>
      <c r="AW63" s="325">
        <v>0.44652903074618189</v>
      </c>
      <c r="AX63" s="325">
        <v>0.47353805696760859</v>
      </c>
      <c r="AY63" s="325">
        <v>0.50220297648409351</v>
      </c>
      <c r="AZ63" s="325">
        <v>0.53262801676458083</v>
      </c>
      <c r="BA63" s="325">
        <v>0.56492428134295236</v>
      </c>
      <c r="BB63" s="325">
        <v>0.59921023882292868</v>
      </c>
      <c r="BC63" s="325">
        <v>0.63611787962064736</v>
      </c>
      <c r="BD63" s="325">
        <v>0.67484481397028329</v>
      </c>
      <c r="BE63" s="325">
        <v>0.71597627768441741</v>
      </c>
      <c r="BF63" s="325">
        <v>0.75966713293729493</v>
      </c>
      <c r="BG63" s="325">
        <v>0.80608285308065042</v>
      </c>
      <c r="BH63" s="325">
        <v>0.85540032002805733</v>
      </c>
      <c r="BI63" s="325">
        <v>0.90780868899424549</v>
      </c>
      <c r="BJ63" s="325">
        <v>0.96351032703269113</v>
      </c>
      <c r="BK63" s="325">
        <v>1.0138752576080106</v>
      </c>
      <c r="BL63" s="325">
        <v>1.0756001073536599</v>
      </c>
      <c r="BM63" s="326">
        <v>1.141157411597068</v>
      </c>
      <c r="BN63" s="324">
        <v>0.64326076250838737</v>
      </c>
      <c r="BO63" s="325">
        <v>0.70085107158057092</v>
      </c>
      <c r="BP63" s="325">
        <v>0.42091904632653115</v>
      </c>
      <c r="BQ63" s="325">
        <v>0.44634277843492121</v>
      </c>
      <c r="BR63" s="325">
        <v>0.4733207725909529</v>
      </c>
      <c r="BS63" s="325">
        <v>0.50195034038566511</v>
      </c>
      <c r="BT63" s="325">
        <v>0.53233515507313911</v>
      </c>
      <c r="BU63" s="325">
        <v>0.56458569777045564</v>
      </c>
      <c r="BV63" s="325">
        <v>0.59881973822352952</v>
      </c>
      <c r="BW63" s="325">
        <v>0.63516285315230447</v>
      </c>
      <c r="BX63" s="325">
        <v>0.67428495239788622</v>
      </c>
      <c r="BY63" s="325">
        <v>0.71533550280850022</v>
      </c>
      <c r="BZ63" s="325">
        <v>0.75893485434548247</v>
      </c>
      <c r="CA63" s="325">
        <v>0.80524716091353266</v>
      </c>
      <c r="CB63" s="325">
        <v>0.85444782426548938</v>
      </c>
      <c r="CC63" s="325">
        <v>0.90672433922974083</v>
      </c>
      <c r="CD63" s="325">
        <v>0.96227721033390035</v>
      </c>
      <c r="CE63" s="325">
        <v>1.0213209466546527</v>
      </c>
      <c r="CF63" s="325">
        <v>1.0747077730644912</v>
      </c>
      <c r="CG63" s="326">
        <v>1.1401361137948796</v>
      </c>
      <c r="CH63" s="324">
        <v>0.64326076250838737</v>
      </c>
      <c r="CI63" s="325">
        <v>0.70085107158057092</v>
      </c>
      <c r="CJ63" s="325">
        <v>0.7643688035176156</v>
      </c>
      <c r="CK63" s="325">
        <v>0.44617418910612305</v>
      </c>
      <c r="CL63" s="325">
        <v>0.4731233451410165</v>
      </c>
      <c r="CM63" s="325">
        <v>0.50172001894641005</v>
      </c>
      <c r="CN63" s="325">
        <v>0.53206736080880501</v>
      </c>
      <c r="CO63" s="325">
        <v>0.56427526437752751</v>
      </c>
      <c r="CP63" s="325">
        <v>0.59846083963668306</v>
      </c>
      <c r="CQ63" s="325">
        <v>0.63474892251694115</v>
      </c>
      <c r="CR63" s="325">
        <v>0.67327262434144275</v>
      </c>
      <c r="CS63" s="325">
        <v>0.71474204954175935</v>
      </c>
      <c r="CT63" s="325">
        <v>0.75825563297701026</v>
      </c>
      <c r="CU63" s="325">
        <v>0.80447094560621135</v>
      </c>
      <c r="CV63" s="325">
        <v>0.85356199056834448</v>
      </c>
      <c r="CW63" s="325">
        <v>0.90571469372141888</v>
      </c>
      <c r="CX63" s="325">
        <v>0.96112779958352523</v>
      </c>
      <c r="CY63" s="325">
        <v>1.0200138429539343</v>
      </c>
      <c r="CZ63" s="325">
        <v>1.0826002034539317</v>
      </c>
      <c r="DA63" s="326">
        <v>1.1391902394483606</v>
      </c>
      <c r="DB63" s="324">
        <v>0.64326076250838737</v>
      </c>
      <c r="DC63" s="325">
        <v>0.70085107158057092</v>
      </c>
      <c r="DD63" s="325">
        <v>0.7643688035176156</v>
      </c>
      <c r="DE63" s="325">
        <v>0.83445764300778846</v>
      </c>
      <c r="DF63" s="325">
        <v>0.47294464045249046</v>
      </c>
      <c r="DG63" s="325">
        <v>0.50151074584947752</v>
      </c>
      <c r="DH63" s="325">
        <v>0.5318232200831946</v>
      </c>
      <c r="DI63" s="325">
        <v>0.56399140245733337</v>
      </c>
      <c r="DJ63" s="325">
        <v>0.5981317802401791</v>
      </c>
      <c r="DK63" s="325">
        <v>0.63436849001488393</v>
      </c>
      <c r="DL63" s="325">
        <v>0.6728338578679578</v>
      </c>
      <c r="DM63" s="325">
        <v>0.71366898180192928</v>
      </c>
      <c r="DN63" s="325">
        <v>0.75762657251426491</v>
      </c>
      <c r="DO63" s="325">
        <v>0.80375097095563097</v>
      </c>
      <c r="DP63" s="325">
        <v>0.85273920234258405</v>
      </c>
      <c r="DQ63" s="325">
        <v>0.90477571000244528</v>
      </c>
      <c r="DR63" s="325">
        <v>0.96005757534470382</v>
      </c>
      <c r="DS63" s="325">
        <v>1.0187954675585369</v>
      </c>
      <c r="DT63" s="325">
        <v>1.0812146735311703</v>
      </c>
      <c r="DU63" s="326">
        <v>1.1475562156611676</v>
      </c>
      <c r="DV63" s="324">
        <v>0.64326076250838737</v>
      </c>
      <c r="DW63" s="325">
        <v>0.70085107158057092</v>
      </c>
      <c r="DX63" s="325">
        <v>0.7643688035176156</v>
      </c>
      <c r="DY63" s="325">
        <v>0.83445764300778846</v>
      </c>
      <c r="DZ63" s="325">
        <v>0.91181481275235621</v>
      </c>
      <c r="EA63" s="325">
        <v>0.50132131887963993</v>
      </c>
      <c r="EB63" s="325">
        <v>0.5316013906004462</v>
      </c>
      <c r="EC63" s="325">
        <v>0.56373261328818636</v>
      </c>
      <c r="ED63" s="325">
        <v>0.59783088660477335</v>
      </c>
      <c r="EE63" s="325">
        <v>0.63401968705458978</v>
      </c>
      <c r="EF63" s="325">
        <v>0.67243059941577699</v>
      </c>
      <c r="EG63" s="325">
        <v>0.7132038893400352</v>
      </c>
      <c r="EH63" s="325">
        <v>0.75648912071004504</v>
      </c>
      <c r="EI63" s="325">
        <v>0.80308416686512074</v>
      </c>
      <c r="EJ63" s="325">
        <v>0.85197602921296878</v>
      </c>
      <c r="EK63" s="325">
        <v>0.90390355448313908</v>
      </c>
      <c r="EL63" s="325">
        <v>0.95906225260259192</v>
      </c>
      <c r="EM63" s="325">
        <v>1.0176610298653863</v>
      </c>
      <c r="EN63" s="325">
        <v>1.079923195612049</v>
      </c>
      <c r="EO63" s="326">
        <v>1.1460875539430406</v>
      </c>
      <c r="EP63" s="324"/>
      <c r="EQ63" s="325"/>
      <c r="ER63" s="325"/>
      <c r="ES63" s="325"/>
      <c r="ET63" s="325"/>
      <c r="EU63" s="325"/>
      <c r="EV63" s="325"/>
      <c r="EW63" s="325"/>
      <c r="EX63" s="325"/>
      <c r="EY63" s="325"/>
      <c r="EZ63" s="325"/>
      <c r="FA63" s="325"/>
      <c r="FB63" s="325"/>
      <c r="FC63" s="325"/>
      <c r="FD63" s="325"/>
      <c r="FE63" s="325"/>
      <c r="FF63" s="325"/>
      <c r="FG63" s="325"/>
      <c r="FH63" s="325"/>
      <c r="FI63" s="326"/>
      <c r="FJ63" s="324"/>
      <c r="FK63" s="325"/>
      <c r="FL63" s="325"/>
      <c r="FM63" s="325"/>
      <c r="FN63" s="325"/>
      <c r="FO63" s="325"/>
      <c r="FP63" s="325"/>
      <c r="FQ63" s="325"/>
      <c r="FR63" s="325"/>
      <c r="FS63" s="325"/>
      <c r="FT63" s="325"/>
      <c r="FU63" s="325"/>
      <c r="FV63" s="325"/>
      <c r="FW63" s="325"/>
      <c r="FX63" s="325"/>
      <c r="FY63" s="325"/>
      <c r="FZ63" s="325"/>
      <c r="GA63" s="325"/>
      <c r="GB63" s="325"/>
      <c r="GC63" s="326"/>
      <c r="GD63" s="324"/>
      <c r="GE63" s="325"/>
      <c r="GF63" s="325"/>
      <c r="GG63" s="325"/>
      <c r="GH63" s="325"/>
      <c r="GI63" s="325"/>
      <c r="GJ63" s="325"/>
      <c r="GK63" s="325"/>
      <c r="GL63" s="325"/>
      <c r="GM63" s="325"/>
      <c r="GN63" s="325"/>
      <c r="GO63" s="325"/>
      <c r="GP63" s="325"/>
      <c r="GQ63" s="325"/>
      <c r="GR63" s="325"/>
      <c r="GS63" s="325"/>
      <c r="GT63" s="325"/>
      <c r="GU63" s="325"/>
      <c r="GV63" s="325"/>
      <c r="GW63" s="326"/>
      <c r="GX63" s="324"/>
      <c r="GY63" s="325"/>
      <c r="GZ63" s="325"/>
      <c r="HA63" s="325"/>
      <c r="HB63" s="325"/>
      <c r="HC63" s="325"/>
      <c r="HD63" s="325"/>
      <c r="HE63" s="325"/>
      <c r="HF63" s="325"/>
      <c r="HG63" s="325"/>
      <c r="HH63" s="325"/>
      <c r="HI63" s="325"/>
      <c r="HJ63" s="325"/>
      <c r="HK63" s="325"/>
      <c r="HL63" s="325"/>
      <c r="HM63" s="325"/>
      <c r="HN63" s="325"/>
      <c r="HO63" s="325"/>
      <c r="HP63" s="325"/>
      <c r="HQ63" s="326"/>
      <c r="HR63" s="324"/>
      <c r="HS63" s="325"/>
      <c r="HT63" s="325"/>
      <c r="HU63" s="325"/>
      <c r="HV63" s="325"/>
      <c r="HW63" s="325"/>
      <c r="HX63" s="325"/>
      <c r="HY63" s="325"/>
      <c r="HZ63" s="325"/>
      <c r="IA63" s="325"/>
      <c r="IB63" s="325"/>
      <c r="IC63" s="325"/>
      <c r="ID63" s="325"/>
      <c r="IE63" s="325"/>
      <c r="IF63" s="325"/>
      <c r="IG63" s="325"/>
      <c r="IH63" s="325"/>
      <c r="II63" s="325"/>
      <c r="IJ63" s="325"/>
      <c r="IK63" s="326"/>
      <c r="IL63" s="324"/>
      <c r="IM63" s="325"/>
      <c r="IN63" s="325"/>
      <c r="IO63" s="325"/>
      <c r="IP63" s="325"/>
      <c r="IQ63" s="325"/>
      <c r="IR63" s="325"/>
      <c r="IS63" s="325"/>
      <c r="IT63" s="325"/>
      <c r="IU63" s="325"/>
      <c r="IV63" s="325"/>
      <c r="IW63" s="325"/>
      <c r="IX63" s="325"/>
      <c r="IY63" s="325"/>
      <c r="IZ63" s="325"/>
      <c r="JA63" s="325"/>
      <c r="JB63" s="325"/>
      <c r="JC63" s="325"/>
      <c r="JD63" s="325"/>
      <c r="JE63" s="326"/>
    </row>
    <row r="64" spans="2:265" x14ac:dyDescent="0.25">
      <c r="B64" s="102"/>
      <c r="C64" s="72"/>
      <c r="D64" s="158" t="s">
        <v>131</v>
      </c>
      <c r="E64" s="158" t="s">
        <v>251</v>
      </c>
      <c r="F64" s="327">
        <v>4.3101187376867776</v>
      </c>
      <c r="G64" s="328">
        <v>4.6268764952226276</v>
      </c>
      <c r="H64" s="328">
        <v>4.9691854026902673</v>
      </c>
      <c r="I64" s="328">
        <v>5.3392670519825751</v>
      </c>
      <c r="J64" s="328">
        <v>5.7395271208939675</v>
      </c>
      <c r="K64" s="328">
        <v>6.1725603171154297</v>
      </c>
      <c r="L64" s="328">
        <v>6.6411503339830551</v>
      </c>
      <c r="M64" s="328">
        <v>7.1482624250750648</v>
      </c>
      <c r="N64" s="328">
        <v>7.6970255317757701</v>
      </c>
      <c r="O64" s="328">
        <v>5.5732468516513025</v>
      </c>
      <c r="P64" s="328">
        <v>5.9090508212834258</v>
      </c>
      <c r="Q64" s="328">
        <v>6.2652206387076212</v>
      </c>
      <c r="R64" s="328">
        <v>6.643007634746775</v>
      </c>
      <c r="S64" s="328">
        <v>7.0437419201839919</v>
      </c>
      <c r="T64" s="328">
        <v>7.4688375591826341</v>
      </c>
      <c r="U64" s="328">
        <v>7.9197981055040065</v>
      </c>
      <c r="V64" s="328">
        <v>8.3982225293131041</v>
      </c>
      <c r="W64" s="328">
        <v>8.9099393510045566</v>
      </c>
      <c r="X64" s="328">
        <v>9.4490754696631036</v>
      </c>
      <c r="Y64" s="329">
        <v>10.02118397750337</v>
      </c>
      <c r="Z64" s="327">
        <v>3.2987962483659561</v>
      </c>
      <c r="AA64" s="328">
        <v>3.4975581020384943</v>
      </c>
      <c r="AB64" s="328">
        <v>3.7083744697276444</v>
      </c>
      <c r="AC64" s="328">
        <v>3.9319860122248436</v>
      </c>
      <c r="AD64" s="328">
        <v>4.1691800200589348</v>
      </c>
      <c r="AE64" s="328">
        <v>4.4207934756355458</v>
      </c>
      <c r="AF64" s="328">
        <v>4.6877163301158262</v>
      </c>
      <c r="AG64" s="328">
        <v>4.9708950114836705</v>
      </c>
      <c r="AH64" s="328">
        <v>5.2737794120053056</v>
      </c>
      <c r="AI64" s="328">
        <v>5.5928932522728445</v>
      </c>
      <c r="AJ64" s="328">
        <v>5.9315233990359522</v>
      </c>
      <c r="AK64" s="328">
        <v>6.2908878404000195</v>
      </c>
      <c r="AL64" s="328">
        <v>6.6722833551035867</v>
      </c>
      <c r="AM64" s="328">
        <v>7.0770909130145236</v>
      </c>
      <c r="AN64" s="328">
        <v>7.5067814772992749</v>
      </c>
      <c r="AO64" s="328">
        <v>7.9629222411886422</v>
      </c>
      <c r="AP64" s="328">
        <v>8.4056031613250504</v>
      </c>
      <c r="AQ64" s="328">
        <v>8.9142221411916083</v>
      </c>
      <c r="AR64" s="328">
        <v>9.4539471485880853</v>
      </c>
      <c r="AS64" s="329">
        <v>10.026719471511056</v>
      </c>
      <c r="AT64" s="327">
        <v>4.3101187376867776</v>
      </c>
      <c r="AU64" s="328">
        <v>3.4967240232679133</v>
      </c>
      <c r="AV64" s="328">
        <v>3.7074115881608032</v>
      </c>
      <c r="AW64" s="328">
        <v>3.9308769379113033</v>
      </c>
      <c r="AX64" s="328">
        <v>4.1679051729583341</v>
      </c>
      <c r="AY64" s="328">
        <v>4.4193308212624709</v>
      </c>
      <c r="AZ64" s="328">
        <v>4.6860410841736782</v>
      </c>
      <c r="BA64" s="328">
        <v>4.9689793099227746</v>
      </c>
      <c r="BB64" s="328">
        <v>5.2691487121726892</v>
      </c>
      <c r="BC64" s="328">
        <v>5.5902061767256237</v>
      </c>
      <c r="BD64" s="328">
        <v>5.928466847409215</v>
      </c>
      <c r="BE64" s="328">
        <v>6.2874148029781098</v>
      </c>
      <c r="BF64" s="328">
        <v>6.6683411108240218</v>
      </c>
      <c r="BG64" s="328">
        <v>7.0726203564098018</v>
      </c>
      <c r="BH64" s="328">
        <v>7.5017163677953942</v>
      </c>
      <c r="BI64" s="328">
        <v>7.9571883659372329</v>
      </c>
      <c r="BJ64" s="328">
        <v>8.4406975756599607</v>
      </c>
      <c r="BK64" s="328">
        <v>8.9099393510045566</v>
      </c>
      <c r="BL64" s="328">
        <v>9.4490754696631036</v>
      </c>
      <c r="BM64" s="329">
        <v>10.02118397750337</v>
      </c>
      <c r="BN64" s="327">
        <v>4.3101187376867776</v>
      </c>
      <c r="BO64" s="328">
        <v>4.6268764952226276</v>
      </c>
      <c r="BP64" s="328">
        <v>3.7065274646639881</v>
      </c>
      <c r="BQ64" s="328">
        <v>3.9298562834504516</v>
      </c>
      <c r="BR64" s="328">
        <v>4.1667295541859808</v>
      </c>
      <c r="BS64" s="328">
        <v>4.4179794833358343</v>
      </c>
      <c r="BT64" s="328">
        <v>4.6844906705382199</v>
      </c>
      <c r="BU64" s="328">
        <v>4.9672035492240978</v>
      </c>
      <c r="BV64" s="328">
        <v>5.2671180685181422</v>
      </c>
      <c r="BW64" s="328">
        <v>5.5852976349030516</v>
      </c>
      <c r="BX64" s="328">
        <v>5.9256185473291625</v>
      </c>
      <c r="BY64" s="328">
        <v>6.2841748582537678</v>
      </c>
      <c r="BZ64" s="328">
        <v>6.6646596911567952</v>
      </c>
      <c r="CA64" s="328">
        <v>7.0684415774734637</v>
      </c>
      <c r="CB64" s="328">
        <v>7.4969775777943894</v>
      </c>
      <c r="CC64" s="328">
        <v>7.9518193498631193</v>
      </c>
      <c r="CD64" s="328">
        <v>8.4346196678934646</v>
      </c>
      <c r="CE64" s="328">
        <v>8.9471394301995595</v>
      </c>
      <c r="CF64" s="328">
        <v>9.4445357120648268</v>
      </c>
      <c r="CG64" s="329">
        <v>10.016019997842891</v>
      </c>
      <c r="CH64" s="327">
        <v>4.3101187376867776</v>
      </c>
      <c r="CI64" s="328">
        <v>4.6268764952226276</v>
      </c>
      <c r="CJ64" s="328">
        <v>4.9691854026902673</v>
      </c>
      <c r="CK64" s="328">
        <v>3.9289191125438272</v>
      </c>
      <c r="CL64" s="328">
        <v>4.1656476604574788</v>
      </c>
      <c r="CM64" s="328">
        <v>4.4167333274371403</v>
      </c>
      <c r="CN64" s="328">
        <v>4.6830582523359841</v>
      </c>
      <c r="CO64" s="328">
        <v>4.9655601107705127</v>
      </c>
      <c r="CP64" s="328">
        <v>5.2652357621775439</v>
      </c>
      <c r="CQ64" s="328">
        <v>5.5831451526292311</v>
      </c>
      <c r="CR64" s="328">
        <v>5.9204154929972344</v>
      </c>
      <c r="CS64" s="328">
        <v>6.2811556601689125</v>
      </c>
      <c r="CT64" s="328">
        <v>6.6612253497489942</v>
      </c>
      <c r="CU64" s="328">
        <v>7.0645392726262033</v>
      </c>
      <c r="CV64" s="328">
        <v>7.4925480721218713</v>
      </c>
      <c r="CW64" s="328">
        <v>7.9467962324620531</v>
      </c>
      <c r="CX64" s="328">
        <v>8.4289285108549059</v>
      </c>
      <c r="CY64" s="328">
        <v>8.9406968479670716</v>
      </c>
      <c r="CZ64" s="328">
        <v>9.4839677960115321</v>
      </c>
      <c r="DA64" s="329">
        <v>10.011207854788719</v>
      </c>
      <c r="DB64" s="327">
        <v>4.3101187376867776</v>
      </c>
      <c r="DC64" s="328">
        <v>4.6268764952226276</v>
      </c>
      <c r="DD64" s="328">
        <v>4.9691854026902673</v>
      </c>
      <c r="DE64" s="328">
        <v>5.3392670519825751</v>
      </c>
      <c r="DF64" s="328">
        <v>4.1646542592964568</v>
      </c>
      <c r="DG64" s="328">
        <v>4.4155865200849282</v>
      </c>
      <c r="DH64" s="328">
        <v>4.6817373270833693</v>
      </c>
      <c r="DI64" s="328">
        <v>4.9640417474761431</v>
      </c>
      <c r="DJ64" s="328">
        <v>5.2634937174167433</v>
      </c>
      <c r="DK64" s="328">
        <v>5.5811499079081974</v>
      </c>
      <c r="DL64" s="328">
        <v>5.9181338617869859</v>
      </c>
      <c r="DM64" s="328">
        <v>6.2756404225770677</v>
      </c>
      <c r="DN64" s="328">
        <v>6.6580249997790455</v>
      </c>
      <c r="DO64" s="328">
        <v>7.0608988707339329</v>
      </c>
      <c r="DP64" s="328">
        <v>7.4884116289837754</v>
      </c>
      <c r="DQ64" s="328">
        <v>7.942100956449182</v>
      </c>
      <c r="DR64" s="328">
        <v>8.4236040064097768</v>
      </c>
      <c r="DS64" s="328">
        <v>8.9346642215061998</v>
      </c>
      <c r="DT64" s="328">
        <v>9.4771386588450959</v>
      </c>
      <c r="DU64" s="329">
        <v>10.053005863772224</v>
      </c>
      <c r="DV64" s="327">
        <v>4.3101187376867776</v>
      </c>
      <c r="DW64" s="328">
        <v>4.6268764952226276</v>
      </c>
      <c r="DX64" s="328">
        <v>4.9691854026902673</v>
      </c>
      <c r="DY64" s="328">
        <v>5.3392670519825751</v>
      </c>
      <c r="DZ64" s="328">
        <v>5.7395271208939675</v>
      </c>
      <c r="EA64" s="328">
        <v>4.4145335148542442</v>
      </c>
      <c r="EB64" s="328">
        <v>4.6805217112900239</v>
      </c>
      <c r="EC64" s="328">
        <v>4.9626415667083714</v>
      </c>
      <c r="ED64" s="328">
        <v>5.2618842523247116</v>
      </c>
      <c r="EE64" s="328">
        <v>5.579303340461748</v>
      </c>
      <c r="EF64" s="328">
        <v>5.9160189023826888</v>
      </c>
      <c r="EG64" s="328">
        <v>6.2732218934942043</v>
      </c>
      <c r="EH64" s="328">
        <v>6.6521788479316921</v>
      </c>
      <c r="EI64" s="328">
        <v>7.0575064997657897</v>
      </c>
      <c r="EJ64" s="328">
        <v>7.4845528029779675</v>
      </c>
      <c r="EK64" s="328">
        <v>7.9377163267228026</v>
      </c>
      <c r="EL64" s="328">
        <v>8.418627013836133</v>
      </c>
      <c r="EM64" s="328">
        <v>8.929020246794364</v>
      </c>
      <c r="EN64" s="328">
        <v>9.4707440747965688</v>
      </c>
      <c r="EO64" s="329">
        <v>10.045766978375804</v>
      </c>
      <c r="EP64" s="327"/>
      <c r="EQ64" s="328"/>
      <c r="ER64" s="328"/>
      <c r="ES64" s="328"/>
      <c r="ET64" s="328"/>
      <c r="EU64" s="328"/>
      <c r="EV64" s="328"/>
      <c r="EW64" s="328"/>
      <c r="EX64" s="328"/>
      <c r="EY64" s="328"/>
      <c r="EZ64" s="328"/>
      <c r="FA64" s="328"/>
      <c r="FB64" s="328"/>
      <c r="FC64" s="328"/>
      <c r="FD64" s="328"/>
      <c r="FE64" s="328"/>
      <c r="FF64" s="328"/>
      <c r="FG64" s="328"/>
      <c r="FH64" s="328"/>
      <c r="FI64" s="329"/>
      <c r="FJ64" s="327"/>
      <c r="FK64" s="328"/>
      <c r="FL64" s="328"/>
      <c r="FM64" s="328"/>
      <c r="FN64" s="328"/>
      <c r="FO64" s="328"/>
      <c r="FP64" s="328"/>
      <c r="FQ64" s="328"/>
      <c r="FR64" s="328"/>
      <c r="FS64" s="328"/>
      <c r="FT64" s="328"/>
      <c r="FU64" s="328"/>
      <c r="FV64" s="328"/>
      <c r="FW64" s="328"/>
      <c r="FX64" s="328"/>
      <c r="FY64" s="328"/>
      <c r="FZ64" s="328"/>
      <c r="GA64" s="328"/>
      <c r="GB64" s="328"/>
      <c r="GC64" s="329"/>
      <c r="GD64" s="327"/>
      <c r="GE64" s="328"/>
      <c r="GF64" s="328"/>
      <c r="GG64" s="328"/>
      <c r="GH64" s="328"/>
      <c r="GI64" s="328"/>
      <c r="GJ64" s="328"/>
      <c r="GK64" s="328"/>
      <c r="GL64" s="328"/>
      <c r="GM64" s="328"/>
      <c r="GN64" s="328"/>
      <c r="GO64" s="328"/>
      <c r="GP64" s="328"/>
      <c r="GQ64" s="328"/>
      <c r="GR64" s="328"/>
      <c r="GS64" s="328"/>
      <c r="GT64" s="328"/>
      <c r="GU64" s="328"/>
      <c r="GV64" s="328"/>
      <c r="GW64" s="329"/>
      <c r="GX64" s="327"/>
      <c r="GY64" s="328"/>
      <c r="GZ64" s="328"/>
      <c r="HA64" s="328"/>
      <c r="HB64" s="328"/>
      <c r="HC64" s="328"/>
      <c r="HD64" s="328"/>
      <c r="HE64" s="328"/>
      <c r="HF64" s="328"/>
      <c r="HG64" s="328"/>
      <c r="HH64" s="328"/>
      <c r="HI64" s="328"/>
      <c r="HJ64" s="328"/>
      <c r="HK64" s="328"/>
      <c r="HL64" s="328"/>
      <c r="HM64" s="328"/>
      <c r="HN64" s="328"/>
      <c r="HO64" s="328"/>
      <c r="HP64" s="328"/>
      <c r="HQ64" s="329"/>
      <c r="HR64" s="327"/>
      <c r="HS64" s="328"/>
      <c r="HT64" s="328"/>
      <c r="HU64" s="328"/>
      <c r="HV64" s="328"/>
      <c r="HW64" s="328"/>
      <c r="HX64" s="328"/>
      <c r="HY64" s="328"/>
      <c r="HZ64" s="328"/>
      <c r="IA64" s="328"/>
      <c r="IB64" s="328"/>
      <c r="IC64" s="328"/>
      <c r="ID64" s="328"/>
      <c r="IE64" s="328"/>
      <c r="IF64" s="328"/>
      <c r="IG64" s="328"/>
      <c r="IH64" s="328"/>
      <c r="II64" s="328"/>
      <c r="IJ64" s="328"/>
      <c r="IK64" s="329"/>
      <c r="IL64" s="327"/>
      <c r="IM64" s="328"/>
      <c r="IN64" s="328"/>
      <c r="IO64" s="328"/>
      <c r="IP64" s="328"/>
      <c r="IQ64" s="328"/>
      <c r="IR64" s="328"/>
      <c r="IS64" s="328"/>
      <c r="IT64" s="328"/>
      <c r="IU64" s="328"/>
      <c r="IV64" s="328"/>
      <c r="IW64" s="328"/>
      <c r="IX64" s="328"/>
      <c r="IY64" s="328"/>
      <c r="IZ64" s="328"/>
      <c r="JA64" s="328"/>
      <c r="JB64" s="328"/>
      <c r="JC64" s="328"/>
      <c r="JD64" s="328"/>
      <c r="JE64" s="329"/>
    </row>
    <row r="65" spans="2:265" x14ac:dyDescent="0.25">
      <c r="B65" s="158"/>
      <c r="C65" s="19" t="s">
        <v>211</v>
      </c>
      <c r="D65" s="187" t="s">
        <v>131</v>
      </c>
      <c r="E65" s="187" t="s">
        <v>251</v>
      </c>
      <c r="F65" s="330">
        <v>4.346518737686778</v>
      </c>
      <c r="G65" s="331">
        <v>4.663276495222628</v>
      </c>
      <c r="H65" s="331">
        <v>5.0055854026902677</v>
      </c>
      <c r="I65" s="331">
        <v>5.3756670519825756</v>
      </c>
      <c r="J65" s="331">
        <v>5.775927120893968</v>
      </c>
      <c r="K65" s="331">
        <v>6.2089603171154302</v>
      </c>
      <c r="L65" s="331">
        <v>6.6775503339830555</v>
      </c>
      <c r="M65" s="331">
        <v>7.1846624250750653</v>
      </c>
      <c r="N65" s="331">
        <v>7.7334255317757705</v>
      </c>
      <c r="O65" s="331">
        <v>10.157826851651304</v>
      </c>
      <c r="P65" s="331">
        <v>5.9454508212834263</v>
      </c>
      <c r="Q65" s="331">
        <v>6.3016206387076217</v>
      </c>
      <c r="R65" s="331">
        <v>6.6794076347467755</v>
      </c>
      <c r="S65" s="331">
        <v>7.2648719201839915</v>
      </c>
      <c r="T65" s="331">
        <v>7.5052375591826346</v>
      </c>
      <c r="U65" s="331">
        <v>7.956198105504007</v>
      </c>
      <c r="V65" s="331">
        <v>8.4346225293131045</v>
      </c>
      <c r="W65" s="331">
        <v>9.5514893510045571</v>
      </c>
      <c r="X65" s="331">
        <v>9.4854754696631041</v>
      </c>
      <c r="Y65" s="332">
        <v>10.05758397750337</v>
      </c>
      <c r="Z65" s="330">
        <v>7.8833762483659573</v>
      </c>
      <c r="AA65" s="331">
        <v>3.5339581020384943</v>
      </c>
      <c r="AB65" s="331">
        <v>3.7447744697276444</v>
      </c>
      <c r="AC65" s="331">
        <v>3.9683860122248436</v>
      </c>
      <c r="AD65" s="331">
        <v>4.3903100200589344</v>
      </c>
      <c r="AE65" s="331">
        <v>4.4571934756355462</v>
      </c>
      <c r="AF65" s="331">
        <v>4.7241163301158267</v>
      </c>
      <c r="AG65" s="331">
        <v>5.007295011483671</v>
      </c>
      <c r="AH65" s="331">
        <v>5.9153294120053053</v>
      </c>
      <c r="AI65" s="331">
        <v>10.177473252272845</v>
      </c>
      <c r="AJ65" s="331">
        <v>5.9679233990359526</v>
      </c>
      <c r="AK65" s="331">
        <v>6.3272878404000199</v>
      </c>
      <c r="AL65" s="331">
        <v>6.8934133551035863</v>
      </c>
      <c r="AM65" s="331">
        <v>7.2982209130145232</v>
      </c>
      <c r="AN65" s="331">
        <v>7.5431814772992754</v>
      </c>
      <c r="AO65" s="331">
        <v>7.9993222411886427</v>
      </c>
      <c r="AP65" s="331">
        <v>9.0471531613250509</v>
      </c>
      <c r="AQ65" s="331">
        <v>9.5557721411916088</v>
      </c>
      <c r="AR65" s="331">
        <v>9.4903471485880857</v>
      </c>
      <c r="AS65" s="332">
        <v>10.063119471511056</v>
      </c>
      <c r="AT65" s="330">
        <v>4.346518737686778</v>
      </c>
      <c r="AU65" s="331">
        <v>8.081304023267915</v>
      </c>
      <c r="AV65" s="331">
        <v>3.7438115881608032</v>
      </c>
      <c r="AW65" s="331">
        <v>3.9672769379113033</v>
      </c>
      <c r="AX65" s="331">
        <v>4.2043051729583345</v>
      </c>
      <c r="AY65" s="331">
        <v>4.6404608212624705</v>
      </c>
      <c r="AZ65" s="331">
        <v>4.7224410841736786</v>
      </c>
      <c r="BA65" s="331">
        <v>5.005379309922775</v>
      </c>
      <c r="BB65" s="331">
        <v>5.3055487121726896</v>
      </c>
      <c r="BC65" s="331">
        <v>6.2317561767256233</v>
      </c>
      <c r="BD65" s="331">
        <v>5.9648668474092155</v>
      </c>
      <c r="BE65" s="331">
        <v>6.3238148029781103</v>
      </c>
      <c r="BF65" s="331">
        <v>6.7047411108240222</v>
      </c>
      <c r="BG65" s="331">
        <v>7.2937503564098014</v>
      </c>
      <c r="BH65" s="331">
        <v>7.5381163677953946</v>
      </c>
      <c r="BI65" s="331">
        <v>7.9935883659372333</v>
      </c>
      <c r="BJ65" s="331">
        <v>8.4770975756599611</v>
      </c>
      <c r="BK65" s="331">
        <v>9.5514893510045571</v>
      </c>
      <c r="BL65" s="331">
        <v>9.4854754696631041</v>
      </c>
      <c r="BM65" s="332">
        <v>10.05758397750337</v>
      </c>
      <c r="BN65" s="330">
        <v>4.346518737686778</v>
      </c>
      <c r="BO65" s="331">
        <v>4.663276495222628</v>
      </c>
      <c r="BP65" s="331">
        <v>8.2911074646639893</v>
      </c>
      <c r="BQ65" s="331">
        <v>3.9662562834504516</v>
      </c>
      <c r="BR65" s="331">
        <v>4.2031295541859812</v>
      </c>
      <c r="BS65" s="331">
        <v>4.4543794833358348</v>
      </c>
      <c r="BT65" s="331">
        <v>4.9056206705382195</v>
      </c>
      <c r="BU65" s="331">
        <v>5.0036035492240982</v>
      </c>
      <c r="BV65" s="331">
        <v>5.3035180685181427</v>
      </c>
      <c r="BW65" s="331">
        <v>5.6216976349030521</v>
      </c>
      <c r="BX65" s="331">
        <v>6.5671685473291621</v>
      </c>
      <c r="BY65" s="331">
        <v>6.3205748582537682</v>
      </c>
      <c r="BZ65" s="331">
        <v>6.7010596911567957</v>
      </c>
      <c r="CA65" s="331">
        <v>7.1048415774734641</v>
      </c>
      <c r="CB65" s="331">
        <v>7.7181075777943891</v>
      </c>
      <c r="CC65" s="331">
        <v>7.9882193498631198</v>
      </c>
      <c r="CD65" s="331">
        <v>8.4710196678934651</v>
      </c>
      <c r="CE65" s="331">
        <v>8.9835394301995599</v>
      </c>
      <c r="CF65" s="331">
        <v>10.086085712064827</v>
      </c>
      <c r="CG65" s="332">
        <v>10.052419997842891</v>
      </c>
      <c r="CH65" s="330">
        <v>4.346518737686778</v>
      </c>
      <c r="CI65" s="331">
        <v>4.663276495222628</v>
      </c>
      <c r="CJ65" s="331">
        <v>5.0055854026902677</v>
      </c>
      <c r="CK65" s="331">
        <v>8.513499112543828</v>
      </c>
      <c r="CL65" s="331">
        <v>4.2020476604574792</v>
      </c>
      <c r="CM65" s="331">
        <v>4.4531333274371407</v>
      </c>
      <c r="CN65" s="331">
        <v>4.7194582523359845</v>
      </c>
      <c r="CO65" s="331">
        <v>5.1866901107705123</v>
      </c>
      <c r="CP65" s="331">
        <v>5.3016357621775443</v>
      </c>
      <c r="CQ65" s="331">
        <v>5.6195451526292315</v>
      </c>
      <c r="CR65" s="331">
        <v>5.9568154929972348</v>
      </c>
      <c r="CS65" s="331">
        <v>6.9227056601689121</v>
      </c>
      <c r="CT65" s="331">
        <v>6.6976253497489946</v>
      </c>
      <c r="CU65" s="331">
        <v>7.1009392726262037</v>
      </c>
      <c r="CV65" s="331">
        <v>7.5289480721218718</v>
      </c>
      <c r="CW65" s="331">
        <v>8.1679262324620527</v>
      </c>
      <c r="CX65" s="331">
        <v>8.4653285108549063</v>
      </c>
      <c r="CY65" s="331">
        <v>8.9770968479670721</v>
      </c>
      <c r="CZ65" s="331">
        <v>9.5203677960115325</v>
      </c>
      <c r="DA65" s="332">
        <v>10.652757854788719</v>
      </c>
      <c r="DB65" s="330">
        <v>4.346518737686778</v>
      </c>
      <c r="DC65" s="331">
        <v>4.663276495222628</v>
      </c>
      <c r="DD65" s="331">
        <v>5.0055854026902677</v>
      </c>
      <c r="DE65" s="331">
        <v>5.3756670519825756</v>
      </c>
      <c r="DF65" s="331">
        <v>8.7492342592964576</v>
      </c>
      <c r="DG65" s="331">
        <v>4.4519865200849287</v>
      </c>
      <c r="DH65" s="331">
        <v>4.7181373270833697</v>
      </c>
      <c r="DI65" s="331">
        <v>5.0004417474761436</v>
      </c>
      <c r="DJ65" s="331">
        <v>5.4846237174167429</v>
      </c>
      <c r="DK65" s="331">
        <v>5.6175499079081979</v>
      </c>
      <c r="DL65" s="331">
        <v>5.9545338617869863</v>
      </c>
      <c r="DM65" s="331">
        <v>6.3120404225770681</v>
      </c>
      <c r="DN65" s="331">
        <v>7.2995749997790451</v>
      </c>
      <c r="DO65" s="331">
        <v>7.0972988707339333</v>
      </c>
      <c r="DP65" s="331">
        <v>7.5248116289837759</v>
      </c>
      <c r="DQ65" s="331">
        <v>7.9785009564491824</v>
      </c>
      <c r="DR65" s="331">
        <v>8.6447340064097773</v>
      </c>
      <c r="DS65" s="331">
        <v>8.9710642215062002</v>
      </c>
      <c r="DT65" s="331">
        <v>9.5135386588450963</v>
      </c>
      <c r="DU65" s="332">
        <v>10.089405863772225</v>
      </c>
      <c r="DV65" s="330">
        <v>4.346518737686778</v>
      </c>
      <c r="DW65" s="331">
        <v>4.663276495222628</v>
      </c>
      <c r="DX65" s="331">
        <v>5.0055854026902677</v>
      </c>
      <c r="DY65" s="331">
        <v>5.3756670519825756</v>
      </c>
      <c r="DZ65" s="331">
        <v>5.775927120893968</v>
      </c>
      <c r="EA65" s="331">
        <v>8.999113514854244</v>
      </c>
      <c r="EB65" s="331">
        <v>4.7169217112900244</v>
      </c>
      <c r="EC65" s="331">
        <v>4.9990415667083719</v>
      </c>
      <c r="ED65" s="331">
        <v>5.298284252324712</v>
      </c>
      <c r="EE65" s="331">
        <v>5.8004333404617476</v>
      </c>
      <c r="EF65" s="331">
        <v>5.9524189023826892</v>
      </c>
      <c r="EG65" s="331">
        <v>6.3096218934942048</v>
      </c>
      <c r="EH65" s="331">
        <v>6.6885788479316926</v>
      </c>
      <c r="EI65" s="331">
        <v>7.6990564997657893</v>
      </c>
      <c r="EJ65" s="331">
        <v>7.520952802977968</v>
      </c>
      <c r="EK65" s="331">
        <v>7.974116326722803</v>
      </c>
      <c r="EL65" s="331">
        <v>8.4550270138361334</v>
      </c>
      <c r="EM65" s="331">
        <v>9.1501502467943645</v>
      </c>
      <c r="EN65" s="331">
        <v>9.5071440747965692</v>
      </c>
      <c r="EO65" s="332">
        <v>10.082166978375804</v>
      </c>
      <c r="EP65" s="330"/>
      <c r="EQ65" s="331"/>
      <c r="ER65" s="331"/>
      <c r="ES65" s="331"/>
      <c r="ET65" s="331"/>
      <c r="EU65" s="331"/>
      <c r="EV65" s="331"/>
      <c r="EW65" s="331"/>
      <c r="EX65" s="331"/>
      <c r="EY65" s="331"/>
      <c r="EZ65" s="331"/>
      <c r="FA65" s="331"/>
      <c r="FB65" s="331"/>
      <c r="FC65" s="331"/>
      <c r="FD65" s="331"/>
      <c r="FE65" s="331"/>
      <c r="FF65" s="331"/>
      <c r="FG65" s="331"/>
      <c r="FH65" s="331"/>
      <c r="FI65" s="332"/>
      <c r="FJ65" s="330"/>
      <c r="FK65" s="331"/>
      <c r="FL65" s="331"/>
      <c r="FM65" s="331"/>
      <c r="FN65" s="331"/>
      <c r="FO65" s="331"/>
      <c r="FP65" s="331"/>
      <c r="FQ65" s="331"/>
      <c r="FR65" s="331"/>
      <c r="FS65" s="331"/>
      <c r="FT65" s="331"/>
      <c r="FU65" s="331"/>
      <c r="FV65" s="331"/>
      <c r="FW65" s="331"/>
      <c r="FX65" s="331"/>
      <c r="FY65" s="331"/>
      <c r="FZ65" s="331"/>
      <c r="GA65" s="331"/>
      <c r="GB65" s="331"/>
      <c r="GC65" s="332"/>
      <c r="GD65" s="330"/>
      <c r="GE65" s="331"/>
      <c r="GF65" s="331"/>
      <c r="GG65" s="331"/>
      <c r="GH65" s="331"/>
      <c r="GI65" s="331"/>
      <c r="GJ65" s="331"/>
      <c r="GK65" s="331"/>
      <c r="GL65" s="331"/>
      <c r="GM65" s="331"/>
      <c r="GN65" s="331"/>
      <c r="GO65" s="331"/>
      <c r="GP65" s="331"/>
      <c r="GQ65" s="331"/>
      <c r="GR65" s="331"/>
      <c r="GS65" s="331"/>
      <c r="GT65" s="331"/>
      <c r="GU65" s="331"/>
      <c r="GV65" s="331"/>
      <c r="GW65" s="332"/>
      <c r="GX65" s="330"/>
      <c r="GY65" s="331"/>
      <c r="GZ65" s="331"/>
      <c r="HA65" s="331"/>
      <c r="HB65" s="331"/>
      <c r="HC65" s="331"/>
      <c r="HD65" s="331"/>
      <c r="HE65" s="331"/>
      <c r="HF65" s="331"/>
      <c r="HG65" s="331"/>
      <c r="HH65" s="331"/>
      <c r="HI65" s="331"/>
      <c r="HJ65" s="331"/>
      <c r="HK65" s="331"/>
      <c r="HL65" s="331"/>
      <c r="HM65" s="331"/>
      <c r="HN65" s="331"/>
      <c r="HO65" s="331"/>
      <c r="HP65" s="331"/>
      <c r="HQ65" s="332"/>
      <c r="HR65" s="330"/>
      <c r="HS65" s="331"/>
      <c r="HT65" s="331"/>
      <c r="HU65" s="331"/>
      <c r="HV65" s="331"/>
      <c r="HW65" s="331"/>
      <c r="HX65" s="331"/>
      <c r="HY65" s="331"/>
      <c r="HZ65" s="331"/>
      <c r="IA65" s="331"/>
      <c r="IB65" s="331"/>
      <c r="IC65" s="331"/>
      <c r="ID65" s="331"/>
      <c r="IE65" s="331"/>
      <c r="IF65" s="331"/>
      <c r="IG65" s="331"/>
      <c r="IH65" s="331"/>
      <c r="II65" s="331"/>
      <c r="IJ65" s="331"/>
      <c r="IK65" s="332"/>
      <c r="IL65" s="330"/>
      <c r="IM65" s="331"/>
      <c r="IN65" s="331"/>
      <c r="IO65" s="331"/>
      <c r="IP65" s="331"/>
      <c r="IQ65" s="331"/>
      <c r="IR65" s="331"/>
      <c r="IS65" s="331"/>
      <c r="IT65" s="331"/>
      <c r="IU65" s="331"/>
      <c r="IV65" s="331"/>
      <c r="IW65" s="331"/>
      <c r="IX65" s="331"/>
      <c r="IY65" s="331"/>
      <c r="IZ65" s="331"/>
      <c r="JA65" s="331"/>
      <c r="JB65" s="331"/>
      <c r="JC65" s="331"/>
      <c r="JD65" s="331"/>
      <c r="JE65" s="332"/>
    </row>
    <row r="66" spans="2:265" x14ac:dyDescent="0.25">
      <c r="B66" s="248" t="s">
        <v>869</v>
      </c>
      <c r="C66" s="19" t="s">
        <v>211</v>
      </c>
      <c r="D66" s="420" t="s">
        <v>212</v>
      </c>
      <c r="E66" s="187" t="s">
        <v>251</v>
      </c>
      <c r="F66" s="415"/>
      <c r="G66" s="415"/>
      <c r="H66" s="415"/>
      <c r="I66" s="415"/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6"/>
      <c r="Z66" s="417">
        <v>-3.5368575106791793</v>
      </c>
      <c r="AA66" s="418">
        <v>1.1293183931841337</v>
      </c>
      <c r="AB66" s="418">
        <v>1.2608109329626234</v>
      </c>
      <c r="AC66" s="418">
        <v>1.407281039757732</v>
      </c>
      <c r="AD66" s="418">
        <v>1.3856171008350335</v>
      </c>
      <c r="AE66" s="418">
        <v>1.7517668414798839</v>
      </c>
      <c r="AF66" s="418">
        <v>1.9534340038672289</v>
      </c>
      <c r="AG66" s="418">
        <v>2.1773674135913943</v>
      </c>
      <c r="AH66" s="418">
        <v>1.8180961197704653</v>
      </c>
      <c r="AI66" s="418">
        <v>-1.9646400621541105E-2</v>
      </c>
      <c r="AJ66" s="418">
        <v>-2.2472577752526313E-2</v>
      </c>
      <c r="AK66" s="418">
        <v>-2.5667201692398223E-2</v>
      </c>
      <c r="AL66" s="418">
        <v>-0.21400572035681087</v>
      </c>
      <c r="AM66" s="418">
        <v>-3.3348992830531721E-2</v>
      </c>
      <c r="AN66" s="418">
        <v>-3.7943918116640774E-2</v>
      </c>
      <c r="AO66" s="418">
        <v>-4.3124135684635689E-2</v>
      </c>
      <c r="AP66" s="418">
        <v>-0.61253063201194635</v>
      </c>
      <c r="AQ66" s="418">
        <v>-4.2827901870516882E-3</v>
      </c>
      <c r="AR66" s="418">
        <v>-4.8716789249816372E-3</v>
      </c>
      <c r="AS66" s="419">
        <v>-5.5354940076863812E-3</v>
      </c>
      <c r="AT66" s="417">
        <v>0</v>
      </c>
      <c r="AU66" s="418">
        <v>-3.418027528045287</v>
      </c>
      <c r="AV66" s="418">
        <v>1.2617738145294646</v>
      </c>
      <c r="AW66" s="418">
        <v>1.4083901140712722</v>
      </c>
      <c r="AX66" s="418">
        <v>1.5716219479356335</v>
      </c>
      <c r="AY66" s="418">
        <v>1.5684994958529597</v>
      </c>
      <c r="AZ66" s="418">
        <v>1.9551092498093769</v>
      </c>
      <c r="BA66" s="418">
        <v>2.1792831151522902</v>
      </c>
      <c r="BB66" s="418">
        <v>2.4278768196030809</v>
      </c>
      <c r="BC66" s="418">
        <v>3.9260706749256808</v>
      </c>
      <c r="BD66" s="418">
        <v>-1.9416026125789188E-2</v>
      </c>
      <c r="BE66" s="418">
        <v>-2.2194164270488592E-2</v>
      </c>
      <c r="BF66" s="418">
        <v>-2.5333476077246786E-2</v>
      </c>
      <c r="BG66" s="418">
        <v>-2.8878436225809878E-2</v>
      </c>
      <c r="BH66" s="418">
        <v>-3.2878808612760047E-2</v>
      </c>
      <c r="BI66" s="418">
        <v>-3.7390260433226352E-2</v>
      </c>
      <c r="BJ66" s="418">
        <v>-4.2475046346856615E-2</v>
      </c>
      <c r="BK66" s="418">
        <v>0</v>
      </c>
      <c r="BL66" s="418">
        <v>0</v>
      </c>
      <c r="BM66" s="419">
        <v>0</v>
      </c>
      <c r="BN66" s="417">
        <v>0</v>
      </c>
      <c r="BO66" s="418">
        <v>0</v>
      </c>
      <c r="BP66" s="418">
        <v>-3.2855220619737215</v>
      </c>
      <c r="BQ66" s="418">
        <v>1.409410768532124</v>
      </c>
      <c r="BR66" s="418">
        <v>1.5727975667079868</v>
      </c>
      <c r="BS66" s="418">
        <v>1.7545808337795954</v>
      </c>
      <c r="BT66" s="418">
        <v>1.771929663444836</v>
      </c>
      <c r="BU66" s="418">
        <v>2.181058875850967</v>
      </c>
      <c r="BV66" s="418">
        <v>2.4299074632576279</v>
      </c>
      <c r="BW66" s="418">
        <v>4.5361292167482521</v>
      </c>
      <c r="BX66" s="418">
        <v>-0.62171772604573583</v>
      </c>
      <c r="BY66" s="418">
        <v>-1.8954219546146511E-2</v>
      </c>
      <c r="BZ66" s="418">
        <v>-2.1652056410020215E-2</v>
      </c>
      <c r="CA66" s="418">
        <v>0.16003034271052741</v>
      </c>
      <c r="CB66" s="418">
        <v>-0.21287001861175447</v>
      </c>
      <c r="CC66" s="418">
        <v>-3.2021244359112799E-2</v>
      </c>
      <c r="CD66" s="418">
        <v>-3.6397138580360533E-2</v>
      </c>
      <c r="CE66" s="418">
        <v>0.56794992080499718</v>
      </c>
      <c r="CF66" s="418">
        <v>-0.60061024240172323</v>
      </c>
      <c r="CG66" s="419">
        <v>5.163979660478546E-3</v>
      </c>
      <c r="CH66" s="417">
        <v>0</v>
      </c>
      <c r="CI66" s="418">
        <v>0</v>
      </c>
      <c r="CJ66" s="418">
        <v>0</v>
      </c>
      <c r="CK66" s="418">
        <v>-3.1378320605612524</v>
      </c>
      <c r="CL66" s="418">
        <v>1.5738794604364887</v>
      </c>
      <c r="CM66" s="418">
        <v>1.7558269896782894</v>
      </c>
      <c r="CN66" s="418">
        <v>1.958092081647071</v>
      </c>
      <c r="CO66" s="418">
        <v>1.9979723143045529</v>
      </c>
      <c r="CP66" s="418">
        <v>2.4317897695982262</v>
      </c>
      <c r="CQ66" s="418">
        <v>4.5382816990220727</v>
      </c>
      <c r="CR66" s="418">
        <v>-1.1364671713808505E-2</v>
      </c>
      <c r="CS66" s="418">
        <v>-0.62108502146129041</v>
      </c>
      <c r="CT66" s="418">
        <v>-1.8217715002219137E-2</v>
      </c>
      <c r="CU66" s="418">
        <v>0.1639326475577878</v>
      </c>
      <c r="CV66" s="418">
        <v>-2.3710512939237205E-2</v>
      </c>
      <c r="CW66" s="418">
        <v>-0.21172812695804577</v>
      </c>
      <c r="CX66" s="418">
        <v>-3.0705981541801819E-2</v>
      </c>
      <c r="CY66" s="418">
        <v>0.57439250303748501</v>
      </c>
      <c r="CZ66" s="418">
        <v>-3.4892326348428426E-2</v>
      </c>
      <c r="DA66" s="419">
        <v>-0.59517387728534921</v>
      </c>
      <c r="DB66" s="417">
        <v>0</v>
      </c>
      <c r="DC66" s="418">
        <v>0</v>
      </c>
      <c r="DD66" s="418">
        <v>0</v>
      </c>
      <c r="DE66" s="418">
        <v>0</v>
      </c>
      <c r="DF66" s="418">
        <v>-2.9733071384024896</v>
      </c>
      <c r="DG66" s="418">
        <v>1.7569737970305015</v>
      </c>
      <c r="DH66" s="418">
        <v>1.9594130068996858</v>
      </c>
      <c r="DI66" s="418">
        <v>2.1842206775989217</v>
      </c>
      <c r="DJ66" s="418">
        <v>2.2488018143590276</v>
      </c>
      <c r="DK66" s="418">
        <v>4.5402769437431063</v>
      </c>
      <c r="DL66" s="418">
        <v>-9.0830405035600137E-3</v>
      </c>
      <c r="DM66" s="418">
        <v>-1.041978386944642E-2</v>
      </c>
      <c r="DN66" s="418">
        <v>-0.62016736503226966</v>
      </c>
      <c r="DO66" s="418">
        <v>0.16757304945005824</v>
      </c>
      <c r="DP66" s="418">
        <v>-1.9574069801141292E-2</v>
      </c>
      <c r="DQ66" s="418">
        <v>-2.2302850945175479E-2</v>
      </c>
      <c r="DR66" s="418">
        <v>-0.21011147709667277</v>
      </c>
      <c r="DS66" s="418">
        <v>0.5804251294983569</v>
      </c>
      <c r="DT66" s="418">
        <v>-2.8063189181992243E-2</v>
      </c>
      <c r="DU66" s="419">
        <v>-3.1821886268854627E-2</v>
      </c>
      <c r="DV66" s="417">
        <v>0</v>
      </c>
      <c r="DW66" s="418">
        <v>0</v>
      </c>
      <c r="DX66" s="418">
        <v>0</v>
      </c>
      <c r="DY66" s="418">
        <v>0</v>
      </c>
      <c r="DZ66" s="418">
        <v>0</v>
      </c>
      <c r="EA66" s="418">
        <v>-2.7901531977388139</v>
      </c>
      <c r="EB66" s="418">
        <v>1.9606286226930312</v>
      </c>
      <c r="EC66" s="418">
        <v>2.1856208583666934</v>
      </c>
      <c r="ED66" s="418">
        <v>2.4351412794510585</v>
      </c>
      <c r="EE66" s="418">
        <v>4.3573935111895565</v>
      </c>
      <c r="EF66" s="418">
        <v>-6.9680810992629461E-3</v>
      </c>
      <c r="EG66" s="418">
        <v>-8.0012547865830896E-3</v>
      </c>
      <c r="EH66" s="418">
        <v>-9.171213184917093E-3</v>
      </c>
      <c r="EI66" s="418">
        <v>-0.43418457958179779</v>
      </c>
      <c r="EJ66" s="418">
        <v>-1.57152437953334E-2</v>
      </c>
      <c r="EK66" s="418">
        <v>-1.7918221218796049E-2</v>
      </c>
      <c r="EL66" s="418">
        <v>-2.0404484523028898E-2</v>
      </c>
      <c r="EM66" s="418">
        <v>0.40133910421019259</v>
      </c>
      <c r="EN66" s="418">
        <v>-2.1668605133465135E-2</v>
      </c>
      <c r="EO66" s="419">
        <v>-2.4583000872434368E-2</v>
      </c>
      <c r="EP66" s="417"/>
      <c r="EQ66" s="418"/>
      <c r="ER66" s="418"/>
      <c r="ES66" s="418"/>
      <c r="ET66" s="418"/>
      <c r="EU66" s="418"/>
      <c r="EV66" s="418"/>
      <c r="EW66" s="418"/>
      <c r="EX66" s="418"/>
      <c r="EY66" s="418"/>
      <c r="EZ66" s="418"/>
      <c r="FA66" s="418"/>
      <c r="FB66" s="418"/>
      <c r="FC66" s="418"/>
      <c r="FD66" s="418"/>
      <c r="FE66" s="418"/>
      <c r="FF66" s="418"/>
      <c r="FG66" s="418"/>
      <c r="FH66" s="418"/>
      <c r="FI66" s="419"/>
      <c r="FJ66" s="417"/>
      <c r="FK66" s="418"/>
      <c r="FL66" s="418"/>
      <c r="FM66" s="418"/>
      <c r="FN66" s="418"/>
      <c r="FO66" s="418"/>
      <c r="FP66" s="418"/>
      <c r="FQ66" s="418"/>
      <c r="FR66" s="418"/>
      <c r="FS66" s="418"/>
      <c r="FT66" s="418"/>
      <c r="FU66" s="418"/>
      <c r="FV66" s="418"/>
      <c r="FW66" s="418"/>
      <c r="FX66" s="418"/>
      <c r="FY66" s="418"/>
      <c r="FZ66" s="418"/>
      <c r="GA66" s="418"/>
      <c r="GB66" s="418"/>
      <c r="GC66" s="419"/>
      <c r="GD66" s="417"/>
      <c r="GE66" s="418"/>
      <c r="GF66" s="418"/>
      <c r="GG66" s="418"/>
      <c r="GH66" s="418"/>
      <c r="GI66" s="418"/>
      <c r="GJ66" s="418"/>
      <c r="GK66" s="418"/>
      <c r="GL66" s="418"/>
      <c r="GM66" s="418"/>
      <c r="GN66" s="418"/>
      <c r="GO66" s="418"/>
      <c r="GP66" s="418"/>
      <c r="GQ66" s="418"/>
      <c r="GR66" s="418"/>
      <c r="GS66" s="418"/>
      <c r="GT66" s="418"/>
      <c r="GU66" s="418"/>
      <c r="GV66" s="418"/>
      <c r="GW66" s="419"/>
      <c r="GX66" s="417"/>
      <c r="GY66" s="418"/>
      <c r="GZ66" s="418"/>
      <c r="HA66" s="418"/>
      <c r="HB66" s="418"/>
      <c r="HC66" s="418"/>
      <c r="HD66" s="418"/>
      <c r="HE66" s="418"/>
      <c r="HF66" s="418"/>
      <c r="HG66" s="418"/>
      <c r="HH66" s="418"/>
      <c r="HI66" s="418"/>
      <c r="HJ66" s="418"/>
      <c r="HK66" s="418"/>
      <c r="HL66" s="418"/>
      <c r="HM66" s="418"/>
      <c r="HN66" s="418"/>
      <c r="HO66" s="418"/>
      <c r="HP66" s="418"/>
      <c r="HQ66" s="419"/>
      <c r="HR66" s="417"/>
      <c r="HS66" s="418"/>
      <c r="HT66" s="418"/>
      <c r="HU66" s="418"/>
      <c r="HV66" s="418"/>
      <c r="HW66" s="418"/>
      <c r="HX66" s="418"/>
      <c r="HY66" s="418"/>
      <c r="HZ66" s="418"/>
      <c r="IA66" s="418"/>
      <c r="IB66" s="418"/>
      <c r="IC66" s="418"/>
      <c r="ID66" s="418"/>
      <c r="IE66" s="418"/>
      <c r="IF66" s="418"/>
      <c r="IG66" s="418"/>
      <c r="IH66" s="418"/>
      <c r="II66" s="418"/>
      <c r="IJ66" s="418"/>
      <c r="IK66" s="419"/>
      <c r="IL66" s="417"/>
      <c r="IM66" s="418"/>
      <c r="IN66" s="418"/>
      <c r="IO66" s="418"/>
      <c r="IP66" s="418"/>
      <c r="IQ66" s="418"/>
      <c r="IR66" s="418"/>
      <c r="IS66" s="418"/>
      <c r="IT66" s="418"/>
      <c r="IU66" s="418"/>
      <c r="IV66" s="418"/>
      <c r="IW66" s="418"/>
      <c r="IX66" s="418"/>
      <c r="IY66" s="418"/>
      <c r="IZ66" s="418"/>
      <c r="JA66" s="418"/>
      <c r="JB66" s="418"/>
      <c r="JC66" s="418"/>
      <c r="JD66" s="418"/>
      <c r="JE66" s="419"/>
    </row>
    <row r="67" spans="2:265" x14ac:dyDescent="0.25">
      <c r="Z67" s="408"/>
      <c r="AT67" s="408"/>
      <c r="BN67" s="408"/>
      <c r="CH67" s="408"/>
      <c r="DB67" s="408"/>
      <c r="DV67" s="408"/>
      <c r="EP67" s="408"/>
      <c r="FJ67" s="408"/>
      <c r="GD67" s="408"/>
      <c r="GX67" s="408"/>
      <c r="HR67" s="408"/>
      <c r="IL67" s="408"/>
    </row>
    <row r="68" spans="2:265" x14ac:dyDescent="0.25">
      <c r="Z68" s="353"/>
    </row>
    <row r="69" spans="2:265" x14ac:dyDescent="0.25">
      <c r="B69" s="7" t="s">
        <v>497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</row>
    <row r="70" spans="2:265" x14ac:dyDescent="0.25">
      <c r="B70" s="275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</row>
    <row r="71" spans="2:265" x14ac:dyDescent="0.25">
      <c r="E71" s="1" t="s">
        <v>496</v>
      </c>
    </row>
    <row r="72" spans="2:265" x14ac:dyDescent="0.25">
      <c r="E72" s="103" t="s">
        <v>210</v>
      </c>
      <c r="F72" s="19">
        <v>1</v>
      </c>
      <c r="G72" s="33">
        <v>2</v>
      </c>
      <c r="H72" s="33">
        <v>3</v>
      </c>
      <c r="I72" s="33">
        <v>4</v>
      </c>
      <c r="J72" s="33">
        <v>5</v>
      </c>
      <c r="K72" s="33">
        <v>6</v>
      </c>
      <c r="L72" s="33">
        <v>7</v>
      </c>
      <c r="M72" s="33">
        <v>8</v>
      </c>
      <c r="N72" s="33">
        <v>9</v>
      </c>
      <c r="O72" s="33">
        <v>10</v>
      </c>
      <c r="P72" s="33">
        <v>11</v>
      </c>
      <c r="Q72" s="33">
        <v>12</v>
      </c>
      <c r="R72" s="33">
        <v>13</v>
      </c>
      <c r="S72" s="33">
        <v>14</v>
      </c>
      <c r="T72" s="33">
        <v>15</v>
      </c>
      <c r="U72" s="33">
        <v>16</v>
      </c>
      <c r="V72" s="33">
        <v>17</v>
      </c>
      <c r="W72" s="33">
        <v>18</v>
      </c>
      <c r="X72" s="33">
        <v>19</v>
      </c>
      <c r="Y72" s="34">
        <v>20</v>
      </c>
    </row>
    <row r="73" spans="2:265" x14ac:dyDescent="0.25">
      <c r="E73" s="89">
        <v>1</v>
      </c>
      <c r="F73" s="333">
        <f>+F46</f>
        <v>12</v>
      </c>
      <c r="G73" s="333">
        <f t="shared" ref="G73:Y73" si="0">+G46</f>
        <v>12.3</v>
      </c>
      <c r="H73" s="333">
        <f t="shared" si="0"/>
        <v>12.6075</v>
      </c>
      <c r="I73" s="333">
        <f t="shared" si="0"/>
        <v>12.9226875</v>
      </c>
      <c r="J73" s="333">
        <f t="shared" si="0"/>
        <v>13.2457546875</v>
      </c>
      <c r="K73" s="333">
        <f t="shared" si="0"/>
        <v>13.576898554687499</v>
      </c>
      <c r="L73" s="333">
        <f t="shared" si="0"/>
        <v>13.916321018554687</v>
      </c>
      <c r="M73" s="333">
        <f t="shared" si="0"/>
        <v>14.264229044018554</v>
      </c>
      <c r="N73" s="333">
        <f t="shared" si="0"/>
        <v>14.620834770119018</v>
      </c>
      <c r="O73" s="333">
        <f t="shared" si="0"/>
        <v>2</v>
      </c>
      <c r="P73" s="333">
        <f t="shared" si="0"/>
        <v>2.0499999999999998</v>
      </c>
      <c r="Q73" s="333">
        <f t="shared" si="0"/>
        <v>2.1012499999999998</v>
      </c>
      <c r="R73" s="333">
        <f t="shared" si="0"/>
        <v>2.1537812499999998</v>
      </c>
      <c r="S73" s="333">
        <f t="shared" si="0"/>
        <v>2.20762578125</v>
      </c>
      <c r="T73" s="333">
        <f t="shared" si="0"/>
        <v>2.2628164257812502</v>
      </c>
      <c r="U73" s="333">
        <f t="shared" si="0"/>
        <v>2.3193868364257813</v>
      </c>
      <c r="V73" s="333">
        <f t="shared" si="0"/>
        <v>2.3773715073364259</v>
      </c>
      <c r="W73" s="333">
        <f t="shared" si="0"/>
        <v>2.5</v>
      </c>
      <c r="X73" s="333">
        <f t="shared" si="0"/>
        <v>2.5625</v>
      </c>
      <c r="Y73" s="334">
        <f t="shared" si="0"/>
        <v>2.6265624999999999</v>
      </c>
      <c r="Z73" s="335"/>
    </row>
    <row r="74" spans="2:265" x14ac:dyDescent="0.25">
      <c r="E74" s="89">
        <v>2</v>
      </c>
      <c r="F74" s="333">
        <f>+Z46</f>
        <v>2</v>
      </c>
      <c r="G74" s="333">
        <f t="shared" ref="G74:Y74" si="1">+AA46</f>
        <v>2.0499999999999998</v>
      </c>
      <c r="H74" s="333">
        <f t="shared" si="1"/>
        <v>2.1012499999999998</v>
      </c>
      <c r="I74" s="333">
        <f t="shared" si="1"/>
        <v>2.1537812499999998</v>
      </c>
      <c r="J74" s="333">
        <f t="shared" si="1"/>
        <v>2.20762578125</v>
      </c>
      <c r="K74" s="333">
        <f t="shared" si="1"/>
        <v>2.2628164257812502</v>
      </c>
      <c r="L74" s="333">
        <f t="shared" si="1"/>
        <v>2.3193868364257813</v>
      </c>
      <c r="M74" s="333">
        <f t="shared" si="1"/>
        <v>2.3773715073364259</v>
      </c>
      <c r="N74" s="333">
        <f t="shared" si="1"/>
        <v>2.5</v>
      </c>
      <c r="O74" s="333">
        <f t="shared" si="1"/>
        <v>2.5625</v>
      </c>
      <c r="P74" s="333">
        <f t="shared" si="1"/>
        <v>2.6265624999999999</v>
      </c>
      <c r="Q74" s="333">
        <f t="shared" si="1"/>
        <v>2.6922265624999997</v>
      </c>
      <c r="R74" s="333">
        <f t="shared" si="1"/>
        <v>2.7595322265624995</v>
      </c>
      <c r="S74" s="333">
        <f t="shared" si="1"/>
        <v>2.8285205322265621</v>
      </c>
      <c r="T74" s="333">
        <f t="shared" si="1"/>
        <v>2.8992335455322262</v>
      </c>
      <c r="U74" s="333">
        <f t="shared" si="1"/>
        <v>2.9717143841705318</v>
      </c>
      <c r="V74" s="333">
        <f t="shared" si="1"/>
        <v>2.5</v>
      </c>
      <c r="W74" s="333">
        <f t="shared" si="1"/>
        <v>2.5625</v>
      </c>
      <c r="X74" s="333">
        <f t="shared" si="1"/>
        <v>2.6265624999999999</v>
      </c>
      <c r="Y74" s="334">
        <f t="shared" si="1"/>
        <v>2.6922265624999997</v>
      </c>
    </row>
    <row r="75" spans="2:265" x14ac:dyDescent="0.25">
      <c r="E75" s="89">
        <v>3</v>
      </c>
      <c r="F75" s="333">
        <f>+AT46</f>
        <v>12</v>
      </c>
      <c r="G75" s="333">
        <f t="shared" ref="G75:Y75" si="2">+AU46</f>
        <v>2</v>
      </c>
      <c r="H75" s="333">
        <f t="shared" si="2"/>
        <v>2.0499999999999998</v>
      </c>
      <c r="I75" s="333">
        <f t="shared" si="2"/>
        <v>2.1012499999999998</v>
      </c>
      <c r="J75" s="333">
        <f t="shared" si="2"/>
        <v>2.1537812499999998</v>
      </c>
      <c r="K75" s="333">
        <f t="shared" si="2"/>
        <v>2.20762578125</v>
      </c>
      <c r="L75" s="333">
        <f t="shared" si="2"/>
        <v>2.2628164257812502</v>
      </c>
      <c r="M75" s="333">
        <f t="shared" si="2"/>
        <v>2.3193868364257813</v>
      </c>
      <c r="N75" s="333">
        <f t="shared" si="2"/>
        <v>2.3773715073364259</v>
      </c>
      <c r="O75" s="333">
        <f t="shared" si="2"/>
        <v>2.5</v>
      </c>
      <c r="P75" s="333">
        <f t="shared" si="2"/>
        <v>2.5625</v>
      </c>
      <c r="Q75" s="333">
        <f t="shared" si="2"/>
        <v>2.6265624999999999</v>
      </c>
      <c r="R75" s="333">
        <f t="shared" si="2"/>
        <v>2.6922265624999997</v>
      </c>
      <c r="S75" s="333">
        <f t="shared" si="2"/>
        <v>2.7595322265624995</v>
      </c>
      <c r="T75" s="333">
        <f t="shared" si="2"/>
        <v>2.8285205322265621</v>
      </c>
      <c r="U75" s="333">
        <f t="shared" si="2"/>
        <v>2.8992335455322262</v>
      </c>
      <c r="V75" s="333">
        <f t="shared" si="2"/>
        <v>2.9717143841705318</v>
      </c>
      <c r="W75" s="333">
        <f t="shared" si="2"/>
        <v>2.5</v>
      </c>
      <c r="X75" s="333">
        <f t="shared" si="2"/>
        <v>2.5625</v>
      </c>
      <c r="Y75" s="334">
        <f t="shared" si="2"/>
        <v>2.6265624999999999</v>
      </c>
    </row>
    <row r="76" spans="2:265" x14ac:dyDescent="0.25">
      <c r="E76" s="89">
        <v>4</v>
      </c>
      <c r="F76" s="333">
        <f>+BN46</f>
        <v>12</v>
      </c>
      <c r="G76" s="333">
        <f t="shared" ref="G76:Y76" si="3">+BO46</f>
        <v>12.3</v>
      </c>
      <c r="H76" s="333">
        <f t="shared" si="3"/>
        <v>2</v>
      </c>
      <c r="I76" s="333">
        <f t="shared" si="3"/>
        <v>2.0499999999999998</v>
      </c>
      <c r="J76" s="333">
        <f t="shared" si="3"/>
        <v>2.1012499999999998</v>
      </c>
      <c r="K76" s="333">
        <f t="shared" si="3"/>
        <v>2.1537812499999998</v>
      </c>
      <c r="L76" s="333">
        <f t="shared" si="3"/>
        <v>2.20762578125</v>
      </c>
      <c r="M76" s="333">
        <f t="shared" si="3"/>
        <v>2.2628164257812502</v>
      </c>
      <c r="N76" s="333">
        <f t="shared" si="3"/>
        <v>2.3193868364257813</v>
      </c>
      <c r="O76" s="333">
        <f t="shared" si="3"/>
        <v>2.3773715073364259</v>
      </c>
      <c r="P76" s="333">
        <f t="shared" si="3"/>
        <v>2.5</v>
      </c>
      <c r="Q76" s="333">
        <f t="shared" si="3"/>
        <v>2.5625</v>
      </c>
      <c r="R76" s="333">
        <f t="shared" si="3"/>
        <v>2.6265624999999999</v>
      </c>
      <c r="S76" s="333">
        <f t="shared" si="3"/>
        <v>2.6922265624999997</v>
      </c>
      <c r="T76" s="333">
        <f t="shared" si="3"/>
        <v>2.7595322265624995</v>
      </c>
      <c r="U76" s="333">
        <f t="shared" si="3"/>
        <v>2.8285205322265621</v>
      </c>
      <c r="V76" s="333">
        <f t="shared" si="3"/>
        <v>2.8992335455322262</v>
      </c>
      <c r="W76" s="333">
        <f t="shared" si="3"/>
        <v>2.9717143841705318</v>
      </c>
      <c r="X76" s="333">
        <f t="shared" si="3"/>
        <v>2.5</v>
      </c>
      <c r="Y76" s="334">
        <f t="shared" si="3"/>
        <v>2.5625</v>
      </c>
    </row>
    <row r="77" spans="2:265" x14ac:dyDescent="0.25">
      <c r="E77" s="89">
        <v>5</v>
      </c>
      <c r="F77" s="333">
        <f>+CH46</f>
        <v>12</v>
      </c>
      <c r="G77" s="333">
        <f t="shared" ref="G77:Y77" si="4">+CI46</f>
        <v>12.3</v>
      </c>
      <c r="H77" s="333">
        <f t="shared" si="4"/>
        <v>12.6075</v>
      </c>
      <c r="I77" s="333">
        <f t="shared" si="4"/>
        <v>2</v>
      </c>
      <c r="J77" s="333">
        <f t="shared" si="4"/>
        <v>2.0499999999999998</v>
      </c>
      <c r="K77" s="333">
        <f t="shared" si="4"/>
        <v>2.1012499999999998</v>
      </c>
      <c r="L77" s="333">
        <f t="shared" si="4"/>
        <v>2.1537812499999998</v>
      </c>
      <c r="M77" s="333">
        <f t="shared" si="4"/>
        <v>2.20762578125</v>
      </c>
      <c r="N77" s="333">
        <f t="shared" si="4"/>
        <v>2.2628164257812502</v>
      </c>
      <c r="O77" s="333">
        <f t="shared" si="4"/>
        <v>2.3193868364257813</v>
      </c>
      <c r="P77" s="333">
        <f t="shared" si="4"/>
        <v>2.3773715073364259</v>
      </c>
      <c r="Q77" s="333">
        <f t="shared" si="4"/>
        <v>2.5</v>
      </c>
      <c r="R77" s="333">
        <f t="shared" si="4"/>
        <v>2.5625</v>
      </c>
      <c r="S77" s="333">
        <f t="shared" si="4"/>
        <v>2.6265624999999999</v>
      </c>
      <c r="T77" s="333">
        <f t="shared" si="4"/>
        <v>2.6922265624999997</v>
      </c>
      <c r="U77" s="333">
        <f t="shared" si="4"/>
        <v>2.7595322265624995</v>
      </c>
      <c r="V77" s="333">
        <f t="shared" si="4"/>
        <v>2.8285205322265621</v>
      </c>
      <c r="W77" s="333">
        <f t="shared" si="4"/>
        <v>2.8992335455322262</v>
      </c>
      <c r="X77" s="333">
        <f t="shared" si="4"/>
        <v>2.9717143841705318</v>
      </c>
      <c r="Y77" s="334">
        <f t="shared" si="4"/>
        <v>2.5</v>
      </c>
    </row>
    <row r="78" spans="2:265" x14ac:dyDescent="0.25">
      <c r="E78" s="89">
        <v>6</v>
      </c>
      <c r="F78" s="333">
        <f>+DB46</f>
        <v>12</v>
      </c>
      <c r="G78" s="333">
        <f t="shared" ref="G78:Y78" si="5">+DC46</f>
        <v>12.3</v>
      </c>
      <c r="H78" s="333">
        <f t="shared" si="5"/>
        <v>12.6075</v>
      </c>
      <c r="I78" s="333">
        <f t="shared" si="5"/>
        <v>12.9226875</v>
      </c>
      <c r="J78" s="333">
        <f t="shared" si="5"/>
        <v>2</v>
      </c>
      <c r="K78" s="333">
        <f t="shared" si="5"/>
        <v>2.0499999999999998</v>
      </c>
      <c r="L78" s="333">
        <f t="shared" si="5"/>
        <v>2.1012499999999998</v>
      </c>
      <c r="M78" s="333">
        <f t="shared" si="5"/>
        <v>2.1537812499999998</v>
      </c>
      <c r="N78" s="333">
        <f t="shared" si="5"/>
        <v>2.20762578125</v>
      </c>
      <c r="O78" s="333">
        <f t="shared" si="5"/>
        <v>2.2628164257812502</v>
      </c>
      <c r="P78" s="333">
        <f t="shared" si="5"/>
        <v>2.3193868364257813</v>
      </c>
      <c r="Q78" s="333">
        <f t="shared" si="5"/>
        <v>2.3773715073364259</v>
      </c>
      <c r="R78" s="333">
        <f t="shared" si="5"/>
        <v>2.5</v>
      </c>
      <c r="S78" s="333">
        <f t="shared" si="5"/>
        <v>2.5625</v>
      </c>
      <c r="T78" s="333">
        <f t="shared" si="5"/>
        <v>2.6265624999999999</v>
      </c>
      <c r="U78" s="333">
        <f t="shared" si="5"/>
        <v>2.6922265624999997</v>
      </c>
      <c r="V78" s="333">
        <f t="shared" si="5"/>
        <v>2.7595322265624995</v>
      </c>
      <c r="W78" s="333">
        <f t="shared" si="5"/>
        <v>2.8285205322265621</v>
      </c>
      <c r="X78" s="333">
        <f t="shared" si="5"/>
        <v>2.8992335455322262</v>
      </c>
      <c r="Y78" s="334">
        <f t="shared" si="5"/>
        <v>2.9717143841705318</v>
      </c>
    </row>
    <row r="79" spans="2:265" x14ac:dyDescent="0.25">
      <c r="E79" s="89">
        <v>7</v>
      </c>
      <c r="F79" s="333">
        <f>+DV46</f>
        <v>12</v>
      </c>
      <c r="G79" s="333">
        <f t="shared" ref="G79:Y79" si="6">+DW46</f>
        <v>12.3</v>
      </c>
      <c r="H79" s="333">
        <f t="shared" si="6"/>
        <v>12.6075</v>
      </c>
      <c r="I79" s="333">
        <f t="shared" si="6"/>
        <v>12.9226875</v>
      </c>
      <c r="J79" s="333">
        <f t="shared" si="6"/>
        <v>13.2457546875</v>
      </c>
      <c r="K79" s="333">
        <f t="shared" si="6"/>
        <v>2</v>
      </c>
      <c r="L79" s="333">
        <f t="shared" si="6"/>
        <v>2.0499999999999998</v>
      </c>
      <c r="M79" s="333">
        <f t="shared" si="6"/>
        <v>2.1012499999999998</v>
      </c>
      <c r="N79" s="333">
        <f t="shared" si="6"/>
        <v>2.1537812499999998</v>
      </c>
      <c r="O79" s="333">
        <f t="shared" si="6"/>
        <v>2.20762578125</v>
      </c>
      <c r="P79" s="333">
        <f t="shared" si="6"/>
        <v>2.2628164257812502</v>
      </c>
      <c r="Q79" s="333">
        <f t="shared" si="6"/>
        <v>2.3193868364257813</v>
      </c>
      <c r="R79" s="333">
        <f t="shared" si="6"/>
        <v>2.3773715073364259</v>
      </c>
      <c r="S79" s="333">
        <f t="shared" si="6"/>
        <v>2.5</v>
      </c>
      <c r="T79" s="333">
        <f t="shared" si="6"/>
        <v>2.5625</v>
      </c>
      <c r="U79" s="333">
        <f t="shared" si="6"/>
        <v>2.6265624999999999</v>
      </c>
      <c r="V79" s="333">
        <f t="shared" si="6"/>
        <v>2.6922265624999997</v>
      </c>
      <c r="W79" s="333">
        <f t="shared" si="6"/>
        <v>2.7595322265624995</v>
      </c>
      <c r="X79" s="333">
        <f t="shared" si="6"/>
        <v>2.8285205322265621</v>
      </c>
      <c r="Y79" s="334">
        <f t="shared" si="6"/>
        <v>2.8992335455322262</v>
      </c>
    </row>
    <row r="80" spans="2:265" x14ac:dyDescent="0.25">
      <c r="E80" s="89">
        <v>8</v>
      </c>
      <c r="F80" s="333">
        <f>+EP46</f>
        <v>0</v>
      </c>
      <c r="G80" s="333">
        <f t="shared" ref="G80:Y80" si="7">+EQ46</f>
        <v>0</v>
      </c>
      <c r="H80" s="333">
        <f t="shared" si="7"/>
        <v>0</v>
      </c>
      <c r="I80" s="333">
        <f t="shared" si="7"/>
        <v>0</v>
      </c>
      <c r="J80" s="333">
        <f t="shared" si="7"/>
        <v>0</v>
      </c>
      <c r="K80" s="333">
        <f t="shared" si="7"/>
        <v>0</v>
      </c>
      <c r="L80" s="333">
        <f t="shared" si="7"/>
        <v>0</v>
      </c>
      <c r="M80" s="333">
        <f t="shared" si="7"/>
        <v>0</v>
      </c>
      <c r="N80" s="333">
        <f t="shared" si="7"/>
        <v>0</v>
      </c>
      <c r="O80" s="333">
        <f t="shared" si="7"/>
        <v>0</v>
      </c>
      <c r="P80" s="333">
        <f t="shared" si="7"/>
        <v>0</v>
      </c>
      <c r="Q80" s="333">
        <f t="shared" si="7"/>
        <v>0</v>
      </c>
      <c r="R80" s="333">
        <f t="shared" si="7"/>
        <v>0</v>
      </c>
      <c r="S80" s="333">
        <f t="shared" si="7"/>
        <v>0</v>
      </c>
      <c r="T80" s="333">
        <f t="shared" si="7"/>
        <v>0</v>
      </c>
      <c r="U80" s="333">
        <f t="shared" si="7"/>
        <v>0</v>
      </c>
      <c r="V80" s="333">
        <f t="shared" si="7"/>
        <v>0</v>
      </c>
      <c r="W80" s="333">
        <f t="shared" si="7"/>
        <v>0</v>
      </c>
      <c r="X80" s="333">
        <f t="shared" si="7"/>
        <v>0</v>
      </c>
      <c r="Y80" s="334">
        <f t="shared" si="7"/>
        <v>0</v>
      </c>
    </row>
    <row r="81" spans="5:25" x14ac:dyDescent="0.25">
      <c r="E81" s="89">
        <v>9</v>
      </c>
      <c r="F81" s="333">
        <f>+FJ46</f>
        <v>0</v>
      </c>
      <c r="G81" s="333">
        <f t="shared" ref="G81:Y81" si="8">+FK46</f>
        <v>0</v>
      </c>
      <c r="H81" s="333">
        <f t="shared" si="8"/>
        <v>0</v>
      </c>
      <c r="I81" s="333">
        <f t="shared" si="8"/>
        <v>0</v>
      </c>
      <c r="J81" s="333">
        <f t="shared" si="8"/>
        <v>0</v>
      </c>
      <c r="K81" s="333">
        <f t="shared" si="8"/>
        <v>0</v>
      </c>
      <c r="L81" s="333">
        <f t="shared" si="8"/>
        <v>0</v>
      </c>
      <c r="M81" s="333">
        <f t="shared" si="8"/>
        <v>0</v>
      </c>
      <c r="N81" s="333">
        <f t="shared" si="8"/>
        <v>0</v>
      </c>
      <c r="O81" s="333">
        <f t="shared" si="8"/>
        <v>0</v>
      </c>
      <c r="P81" s="333">
        <f t="shared" si="8"/>
        <v>0</v>
      </c>
      <c r="Q81" s="333">
        <f t="shared" si="8"/>
        <v>0</v>
      </c>
      <c r="R81" s="333">
        <f t="shared" si="8"/>
        <v>0</v>
      </c>
      <c r="S81" s="333">
        <f t="shared" si="8"/>
        <v>0</v>
      </c>
      <c r="T81" s="333">
        <f t="shared" si="8"/>
        <v>0</v>
      </c>
      <c r="U81" s="333">
        <f t="shared" si="8"/>
        <v>0</v>
      </c>
      <c r="V81" s="333">
        <f t="shared" si="8"/>
        <v>0</v>
      </c>
      <c r="W81" s="333">
        <f t="shared" si="8"/>
        <v>0</v>
      </c>
      <c r="X81" s="333">
        <f t="shared" si="8"/>
        <v>0</v>
      </c>
      <c r="Y81" s="334">
        <f t="shared" si="8"/>
        <v>0</v>
      </c>
    </row>
    <row r="82" spans="5:25" x14ac:dyDescent="0.25">
      <c r="E82" s="89">
        <v>10</v>
      </c>
      <c r="F82" s="333">
        <f>+GD46</f>
        <v>0</v>
      </c>
      <c r="G82" s="333">
        <f t="shared" ref="G82:Y82" si="9">+GE46</f>
        <v>0</v>
      </c>
      <c r="H82" s="333">
        <f t="shared" si="9"/>
        <v>0</v>
      </c>
      <c r="I82" s="333">
        <f t="shared" si="9"/>
        <v>0</v>
      </c>
      <c r="J82" s="333">
        <f t="shared" si="9"/>
        <v>0</v>
      </c>
      <c r="K82" s="333">
        <f t="shared" si="9"/>
        <v>0</v>
      </c>
      <c r="L82" s="333">
        <f t="shared" si="9"/>
        <v>0</v>
      </c>
      <c r="M82" s="333">
        <f t="shared" si="9"/>
        <v>0</v>
      </c>
      <c r="N82" s="333">
        <f t="shared" si="9"/>
        <v>0</v>
      </c>
      <c r="O82" s="333">
        <f t="shared" si="9"/>
        <v>0</v>
      </c>
      <c r="P82" s="333">
        <f t="shared" si="9"/>
        <v>0</v>
      </c>
      <c r="Q82" s="333">
        <f t="shared" si="9"/>
        <v>0</v>
      </c>
      <c r="R82" s="333">
        <f t="shared" si="9"/>
        <v>0</v>
      </c>
      <c r="S82" s="333">
        <f t="shared" si="9"/>
        <v>0</v>
      </c>
      <c r="T82" s="333">
        <f t="shared" si="9"/>
        <v>0</v>
      </c>
      <c r="U82" s="333">
        <f t="shared" si="9"/>
        <v>0</v>
      </c>
      <c r="V82" s="333">
        <f t="shared" si="9"/>
        <v>0</v>
      </c>
      <c r="W82" s="333">
        <f t="shared" si="9"/>
        <v>0</v>
      </c>
      <c r="X82" s="333">
        <f t="shared" si="9"/>
        <v>0</v>
      </c>
      <c r="Y82" s="334">
        <f t="shared" si="9"/>
        <v>0</v>
      </c>
    </row>
    <row r="83" spans="5:25" x14ac:dyDescent="0.25">
      <c r="E83" s="89">
        <v>11</v>
      </c>
      <c r="F83" s="333">
        <f>+GX46</f>
        <v>0</v>
      </c>
      <c r="G83" s="333">
        <f t="shared" ref="G83:Y83" si="10">+GY46</f>
        <v>0</v>
      </c>
      <c r="H83" s="333">
        <f t="shared" si="10"/>
        <v>0</v>
      </c>
      <c r="I83" s="333">
        <f t="shared" si="10"/>
        <v>0</v>
      </c>
      <c r="J83" s="333">
        <f t="shared" si="10"/>
        <v>0</v>
      </c>
      <c r="K83" s="333">
        <f t="shared" si="10"/>
        <v>0</v>
      </c>
      <c r="L83" s="333">
        <f t="shared" si="10"/>
        <v>0</v>
      </c>
      <c r="M83" s="333">
        <f t="shared" si="10"/>
        <v>0</v>
      </c>
      <c r="N83" s="333">
        <f t="shared" si="10"/>
        <v>0</v>
      </c>
      <c r="O83" s="333">
        <f t="shared" si="10"/>
        <v>0</v>
      </c>
      <c r="P83" s="333">
        <f t="shared" si="10"/>
        <v>0</v>
      </c>
      <c r="Q83" s="333">
        <f t="shared" si="10"/>
        <v>0</v>
      </c>
      <c r="R83" s="333">
        <f t="shared" si="10"/>
        <v>0</v>
      </c>
      <c r="S83" s="333">
        <f t="shared" si="10"/>
        <v>0</v>
      </c>
      <c r="T83" s="333">
        <f t="shared" si="10"/>
        <v>0</v>
      </c>
      <c r="U83" s="333">
        <f t="shared" si="10"/>
        <v>0</v>
      </c>
      <c r="V83" s="333">
        <f t="shared" si="10"/>
        <v>0</v>
      </c>
      <c r="W83" s="333">
        <f t="shared" si="10"/>
        <v>0</v>
      </c>
      <c r="X83" s="333">
        <f t="shared" si="10"/>
        <v>0</v>
      </c>
      <c r="Y83" s="334">
        <f t="shared" si="10"/>
        <v>0</v>
      </c>
    </row>
    <row r="84" spans="5:25" x14ac:dyDescent="0.25">
      <c r="E84" s="89">
        <v>12</v>
      </c>
      <c r="F84" s="333">
        <f>+HR46</f>
        <v>0</v>
      </c>
      <c r="G84" s="333">
        <f t="shared" ref="G84:Y84" si="11">+HS46</f>
        <v>0</v>
      </c>
      <c r="H84" s="333">
        <f t="shared" si="11"/>
        <v>0</v>
      </c>
      <c r="I84" s="333">
        <f t="shared" si="11"/>
        <v>0</v>
      </c>
      <c r="J84" s="333">
        <f t="shared" si="11"/>
        <v>0</v>
      </c>
      <c r="K84" s="333">
        <f t="shared" si="11"/>
        <v>0</v>
      </c>
      <c r="L84" s="333">
        <f t="shared" si="11"/>
        <v>0</v>
      </c>
      <c r="M84" s="333">
        <f t="shared" si="11"/>
        <v>0</v>
      </c>
      <c r="N84" s="333">
        <f t="shared" si="11"/>
        <v>0</v>
      </c>
      <c r="O84" s="333">
        <f t="shared" si="11"/>
        <v>0</v>
      </c>
      <c r="P84" s="333">
        <f t="shared" si="11"/>
        <v>0</v>
      </c>
      <c r="Q84" s="333">
        <f t="shared" si="11"/>
        <v>0</v>
      </c>
      <c r="R84" s="333">
        <f t="shared" si="11"/>
        <v>0</v>
      </c>
      <c r="S84" s="333">
        <f t="shared" si="11"/>
        <v>0</v>
      </c>
      <c r="T84" s="333">
        <f t="shared" si="11"/>
        <v>0</v>
      </c>
      <c r="U84" s="333">
        <f t="shared" si="11"/>
        <v>0</v>
      </c>
      <c r="V84" s="333">
        <f t="shared" si="11"/>
        <v>0</v>
      </c>
      <c r="W84" s="333">
        <f t="shared" si="11"/>
        <v>0</v>
      </c>
      <c r="X84" s="333">
        <f t="shared" si="11"/>
        <v>0</v>
      </c>
      <c r="Y84" s="334">
        <f t="shared" si="11"/>
        <v>0</v>
      </c>
    </row>
    <row r="85" spans="5:25" x14ac:dyDescent="0.25">
      <c r="E85" s="90">
        <v>13</v>
      </c>
      <c r="F85" s="336">
        <f>+IL46</f>
        <v>0</v>
      </c>
      <c r="G85" s="336">
        <f t="shared" ref="G85:Y85" si="12">+IM46</f>
        <v>0</v>
      </c>
      <c r="H85" s="336">
        <f t="shared" si="12"/>
        <v>0</v>
      </c>
      <c r="I85" s="336">
        <f t="shared" si="12"/>
        <v>0</v>
      </c>
      <c r="J85" s="336">
        <f t="shared" si="12"/>
        <v>0</v>
      </c>
      <c r="K85" s="336">
        <f t="shared" si="12"/>
        <v>0</v>
      </c>
      <c r="L85" s="336">
        <f t="shared" si="12"/>
        <v>0</v>
      </c>
      <c r="M85" s="336">
        <f t="shared" si="12"/>
        <v>0</v>
      </c>
      <c r="N85" s="336">
        <f t="shared" si="12"/>
        <v>0</v>
      </c>
      <c r="O85" s="336">
        <f t="shared" si="12"/>
        <v>0</v>
      </c>
      <c r="P85" s="336">
        <f t="shared" si="12"/>
        <v>0</v>
      </c>
      <c r="Q85" s="336">
        <f t="shared" si="12"/>
        <v>0</v>
      </c>
      <c r="R85" s="336">
        <f t="shared" si="12"/>
        <v>0</v>
      </c>
      <c r="S85" s="336">
        <f t="shared" si="12"/>
        <v>0</v>
      </c>
      <c r="T85" s="336">
        <f t="shared" si="12"/>
        <v>0</v>
      </c>
      <c r="U85" s="336">
        <f t="shared" si="12"/>
        <v>0</v>
      </c>
      <c r="V85" s="336">
        <f t="shared" si="12"/>
        <v>0</v>
      </c>
      <c r="W85" s="336">
        <f t="shared" si="12"/>
        <v>0</v>
      </c>
      <c r="X85" s="336">
        <f t="shared" si="12"/>
        <v>0</v>
      </c>
      <c r="Y85" s="337">
        <f t="shared" si="12"/>
        <v>0</v>
      </c>
    </row>
    <row r="86" spans="5:25" x14ac:dyDescent="0.25">
      <c r="E86" s="26"/>
      <c r="F86" s="33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7"/>
    </row>
    <row r="87" spans="5:25" x14ac:dyDescent="0.25">
      <c r="E87" s="40"/>
      <c r="F87" s="33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1"/>
    </row>
    <row r="88" spans="5:25" x14ac:dyDescent="0.25">
      <c r="E88" s="40"/>
      <c r="F88" s="33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1"/>
    </row>
    <row r="89" spans="5:25" x14ac:dyDescent="0.25">
      <c r="E89" s="40"/>
      <c r="F89" s="33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1"/>
    </row>
    <row r="90" spans="5:25" x14ac:dyDescent="0.25">
      <c r="E90" s="40"/>
      <c r="F90" s="33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1"/>
    </row>
    <row r="91" spans="5:25" x14ac:dyDescent="0.25">
      <c r="E91" s="40"/>
      <c r="F91" s="33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1"/>
    </row>
    <row r="92" spans="5:25" x14ac:dyDescent="0.25">
      <c r="E92" s="40"/>
      <c r="F92" s="33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1"/>
    </row>
    <row r="93" spans="5:25" x14ac:dyDescent="0.25">
      <c r="E93" s="40"/>
      <c r="F93" s="33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1"/>
    </row>
    <row r="94" spans="5:25" x14ac:dyDescent="0.25">
      <c r="E94" s="40"/>
      <c r="F94" s="33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1"/>
    </row>
    <row r="95" spans="5:25" x14ac:dyDescent="0.25">
      <c r="E95" s="40"/>
      <c r="F95" s="33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1"/>
    </row>
    <row r="96" spans="5:25" x14ac:dyDescent="0.25">
      <c r="E96" s="40"/>
      <c r="F96" s="33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1"/>
    </row>
    <row r="97" spans="5:25" x14ac:dyDescent="0.25">
      <c r="E97" s="40"/>
      <c r="F97" s="33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1"/>
    </row>
    <row r="98" spans="5:25" x14ac:dyDescent="0.25">
      <c r="E98" s="40"/>
      <c r="F98" s="33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1"/>
    </row>
    <row r="99" spans="5:25" x14ac:dyDescent="0.25">
      <c r="E99" s="40"/>
      <c r="F99" s="33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1"/>
    </row>
    <row r="100" spans="5:25" x14ac:dyDescent="0.25">
      <c r="E100" s="40"/>
      <c r="F100" s="33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1"/>
    </row>
    <row r="101" spans="5:25" x14ac:dyDescent="0.25">
      <c r="E101" s="72"/>
      <c r="F101" s="336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7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opLeftCell="A79" workbookViewId="0">
      <selection activeCell="C92" sqref="C92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52" t="s">
        <v>484</v>
      </c>
    </row>
    <row r="4" spans="2:16" x14ac:dyDescent="0.25">
      <c r="B4" s="187" t="s">
        <v>307</v>
      </c>
      <c r="C4" s="259">
        <v>0.06</v>
      </c>
    </row>
    <row r="6" spans="2:16" x14ac:dyDescent="0.25">
      <c r="B6" s="19" t="s">
        <v>726</v>
      </c>
      <c r="C6" s="260">
        <v>0.91</v>
      </c>
    </row>
    <row r="8" spans="2:16" x14ac:dyDescent="0.25"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2:16" x14ac:dyDescent="0.25">
      <c r="B9" s="252" t="s">
        <v>480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2:16" x14ac:dyDescent="0.25"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2:16" x14ac:dyDescent="0.25">
      <c r="B11" s="100" t="s">
        <v>505</v>
      </c>
      <c r="I11" s="42"/>
    </row>
    <row r="12" spans="2:16" x14ac:dyDescent="0.25">
      <c r="B12" s="88" t="s">
        <v>60</v>
      </c>
      <c r="C12" s="17" t="s">
        <v>279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8"/>
    </row>
    <row r="13" spans="2:16" x14ac:dyDescent="0.25">
      <c r="B13" s="89" t="s">
        <v>501</v>
      </c>
      <c r="C13" s="29" t="s">
        <v>162</v>
      </c>
      <c r="D13" s="29" t="s">
        <v>93</v>
      </c>
      <c r="E13" s="131" t="s">
        <v>95</v>
      </c>
      <c r="F13" s="131" t="s">
        <v>163</v>
      </c>
      <c r="G13" s="131" t="s">
        <v>164</v>
      </c>
      <c r="H13" s="131" t="s">
        <v>165</v>
      </c>
      <c r="I13" s="131" t="s">
        <v>95</v>
      </c>
      <c r="J13" s="131" t="s">
        <v>166</v>
      </c>
      <c r="K13" s="131" t="s">
        <v>98</v>
      </c>
      <c r="L13" s="131" t="s">
        <v>93</v>
      </c>
      <c r="M13" s="131" t="s">
        <v>95</v>
      </c>
      <c r="N13" s="130" t="s">
        <v>96</v>
      </c>
    </row>
    <row r="14" spans="2:16" x14ac:dyDescent="0.25">
      <c r="B14" s="89" t="s">
        <v>502</v>
      </c>
      <c r="C14" s="44" t="s">
        <v>167</v>
      </c>
      <c r="D14" s="44" t="s">
        <v>90</v>
      </c>
      <c r="E14" s="44" t="s">
        <v>90</v>
      </c>
      <c r="F14" s="44" t="s">
        <v>92</v>
      </c>
      <c r="G14" s="44" t="s">
        <v>168</v>
      </c>
      <c r="H14" s="44" t="s">
        <v>97</v>
      </c>
      <c r="I14" s="44" t="s">
        <v>97</v>
      </c>
      <c r="J14" s="44" t="s">
        <v>97</v>
      </c>
      <c r="K14" s="44" t="s">
        <v>97</v>
      </c>
      <c r="L14" s="44" t="s">
        <v>94</v>
      </c>
      <c r="M14" s="44" t="s">
        <v>94</v>
      </c>
      <c r="N14" s="129" t="s">
        <v>94</v>
      </c>
    </row>
    <row r="15" spans="2:16" x14ac:dyDescent="0.25">
      <c r="B15" s="89" t="s">
        <v>503</v>
      </c>
      <c r="C15" s="45" t="s">
        <v>101</v>
      </c>
      <c r="D15" s="45" t="s">
        <v>101</v>
      </c>
      <c r="E15" s="45" t="s">
        <v>101</v>
      </c>
      <c r="F15" s="45" t="s">
        <v>101</v>
      </c>
      <c r="G15" s="45" t="s">
        <v>101</v>
      </c>
      <c r="H15" s="45" t="s">
        <v>101</v>
      </c>
      <c r="I15" s="45" t="s">
        <v>101</v>
      </c>
      <c r="J15" s="45" t="s">
        <v>101</v>
      </c>
      <c r="K15" s="45" t="s">
        <v>101</v>
      </c>
      <c r="L15" s="45" t="s">
        <v>101</v>
      </c>
      <c r="M15" s="45" t="s">
        <v>101</v>
      </c>
      <c r="N15" s="49" t="s">
        <v>101</v>
      </c>
    </row>
    <row r="16" spans="2:16" x14ac:dyDescent="0.25">
      <c r="B16" s="85" t="s">
        <v>786</v>
      </c>
      <c r="C16" s="358">
        <v>0.04</v>
      </c>
      <c r="D16" s="359">
        <v>0.04</v>
      </c>
      <c r="E16" s="359">
        <v>0.04</v>
      </c>
      <c r="F16" s="359">
        <v>0.04</v>
      </c>
      <c r="G16" s="359">
        <v>0.04</v>
      </c>
      <c r="H16" s="359">
        <v>0.04</v>
      </c>
      <c r="I16" s="359">
        <v>0.04</v>
      </c>
      <c r="J16" s="359">
        <v>0.04</v>
      </c>
      <c r="K16" s="359">
        <v>0.04</v>
      </c>
      <c r="L16" s="359">
        <v>0.04</v>
      </c>
      <c r="M16" s="359">
        <v>0.04</v>
      </c>
      <c r="N16" s="360">
        <v>0.04</v>
      </c>
    </row>
    <row r="17" spans="2:14" x14ac:dyDescent="0.25">
      <c r="B17" s="86" t="s">
        <v>785</v>
      </c>
      <c r="C17" s="361">
        <v>0.05</v>
      </c>
      <c r="D17" s="357">
        <v>0.05</v>
      </c>
      <c r="E17" s="357">
        <v>0.05</v>
      </c>
      <c r="F17" s="357">
        <v>0.05</v>
      </c>
      <c r="G17" s="357">
        <v>0.05</v>
      </c>
      <c r="H17" s="357">
        <v>0.05</v>
      </c>
      <c r="I17" s="357">
        <v>0.05</v>
      </c>
      <c r="J17" s="357">
        <v>0.05</v>
      </c>
      <c r="K17" s="357">
        <v>0.05</v>
      </c>
      <c r="L17" s="357">
        <v>0.05</v>
      </c>
      <c r="M17" s="357">
        <v>0.05</v>
      </c>
      <c r="N17" s="362">
        <v>0.05</v>
      </c>
    </row>
    <row r="18" spans="2:14" x14ac:dyDescent="0.25">
      <c r="B18" s="86" t="s">
        <v>782</v>
      </c>
      <c r="C18" s="361">
        <v>0.06</v>
      </c>
      <c r="D18" s="357">
        <v>0.06</v>
      </c>
      <c r="E18" s="357">
        <v>0.06</v>
      </c>
      <c r="F18" s="357">
        <v>0.06</v>
      </c>
      <c r="G18" s="357">
        <v>0.06</v>
      </c>
      <c r="H18" s="357">
        <v>0.06</v>
      </c>
      <c r="I18" s="357">
        <v>0.06</v>
      </c>
      <c r="J18" s="357">
        <v>0.06</v>
      </c>
      <c r="K18" s="357">
        <v>0.06</v>
      </c>
      <c r="L18" s="357">
        <v>0.06</v>
      </c>
      <c r="M18" s="357">
        <v>0.06</v>
      </c>
      <c r="N18" s="362">
        <v>0.06</v>
      </c>
    </row>
    <row r="19" spans="2:14" x14ac:dyDescent="0.25">
      <c r="B19" s="86" t="s">
        <v>783</v>
      </c>
      <c r="C19" s="361">
        <v>7.0000000000000007E-2</v>
      </c>
      <c r="D19" s="357">
        <v>7.0000000000000007E-2</v>
      </c>
      <c r="E19" s="357">
        <v>7.0000000000000007E-2</v>
      </c>
      <c r="F19" s="357">
        <v>7.0000000000000007E-2</v>
      </c>
      <c r="G19" s="357">
        <v>7.0000000000000007E-2</v>
      </c>
      <c r="H19" s="357">
        <v>7.0000000000000007E-2</v>
      </c>
      <c r="I19" s="357">
        <v>7.0000000000000007E-2</v>
      </c>
      <c r="J19" s="357">
        <v>7.0000000000000007E-2</v>
      </c>
      <c r="K19" s="357">
        <v>7.0000000000000007E-2</v>
      </c>
      <c r="L19" s="357">
        <v>7.0000000000000007E-2</v>
      </c>
      <c r="M19" s="357">
        <v>7.0000000000000007E-2</v>
      </c>
      <c r="N19" s="362">
        <v>7.0000000000000007E-2</v>
      </c>
    </row>
    <row r="20" spans="2:14" x14ac:dyDescent="0.25">
      <c r="B20" s="87" t="s">
        <v>784</v>
      </c>
      <c r="C20" s="363">
        <v>0.08</v>
      </c>
      <c r="D20" s="364">
        <v>0.08</v>
      </c>
      <c r="E20" s="364">
        <v>0.08</v>
      </c>
      <c r="F20" s="364">
        <v>0.08</v>
      </c>
      <c r="G20" s="364">
        <v>0.08</v>
      </c>
      <c r="H20" s="364">
        <v>0.08</v>
      </c>
      <c r="I20" s="364">
        <v>0.08</v>
      </c>
      <c r="J20" s="364">
        <v>0.08</v>
      </c>
      <c r="K20" s="364">
        <v>0.08</v>
      </c>
      <c r="L20" s="364">
        <v>0.08</v>
      </c>
      <c r="M20" s="364">
        <v>0.08</v>
      </c>
      <c r="N20" s="365">
        <v>0.08</v>
      </c>
    </row>
    <row r="22" spans="2:14" x14ac:dyDescent="0.25">
      <c r="B22" s="100" t="s">
        <v>473</v>
      </c>
      <c r="E22" s="42"/>
      <c r="F22" s="42"/>
      <c r="G22" s="42"/>
      <c r="H22" s="42"/>
      <c r="I22" s="42"/>
    </row>
    <row r="23" spans="2:14" x14ac:dyDescent="0.25">
      <c r="B23" s="142" t="s">
        <v>92</v>
      </c>
      <c r="C23" s="142" t="s">
        <v>169</v>
      </c>
      <c r="D23" s="85" t="s">
        <v>315</v>
      </c>
      <c r="E23" s="88" t="s">
        <v>316</v>
      </c>
    </row>
    <row r="24" spans="2:14" x14ac:dyDescent="0.25">
      <c r="B24" s="143" t="s">
        <v>0</v>
      </c>
      <c r="C24" s="143" t="s">
        <v>170</v>
      </c>
      <c r="D24" s="87" t="s">
        <v>38</v>
      </c>
      <c r="E24" s="90" t="s">
        <v>317</v>
      </c>
    </row>
    <row r="25" spans="2:14" x14ac:dyDescent="0.25">
      <c r="B25" s="95" t="s">
        <v>91</v>
      </c>
      <c r="C25" s="144">
        <v>0</v>
      </c>
      <c r="D25" s="264">
        <v>1.3</v>
      </c>
      <c r="E25" s="265">
        <v>0.5</v>
      </c>
    </row>
    <row r="26" spans="2:14" x14ac:dyDescent="0.25">
      <c r="B26" s="97" t="s">
        <v>171</v>
      </c>
      <c r="C26" s="145">
        <v>0</v>
      </c>
      <c r="D26" s="264">
        <v>1.9</v>
      </c>
      <c r="E26" s="265">
        <v>1.5</v>
      </c>
    </row>
    <row r="27" spans="2:14" x14ac:dyDescent="0.25">
      <c r="B27" s="97" t="s">
        <v>172</v>
      </c>
      <c r="C27" s="145">
        <v>0</v>
      </c>
      <c r="D27" s="264">
        <v>1.9</v>
      </c>
      <c r="E27" s="265">
        <v>1.5</v>
      </c>
    </row>
    <row r="28" spans="2:14" x14ac:dyDescent="0.25">
      <c r="B28" s="97" t="s">
        <v>173</v>
      </c>
      <c r="C28" s="145">
        <v>0.01</v>
      </c>
      <c r="D28" s="264">
        <v>0</v>
      </c>
      <c r="E28" s="265">
        <v>0</v>
      </c>
    </row>
    <row r="29" spans="2:14" x14ac:dyDescent="0.25">
      <c r="B29" s="97" t="s">
        <v>174</v>
      </c>
      <c r="C29" s="145">
        <v>0.02</v>
      </c>
      <c r="D29" s="264">
        <v>0</v>
      </c>
      <c r="E29" s="265">
        <v>0</v>
      </c>
    </row>
    <row r="30" spans="2:14" x14ac:dyDescent="0.25">
      <c r="B30" s="97" t="s">
        <v>175</v>
      </c>
      <c r="C30" s="145">
        <v>0.1</v>
      </c>
      <c r="D30" s="264">
        <v>0</v>
      </c>
      <c r="E30" s="265">
        <v>0</v>
      </c>
    </row>
    <row r="31" spans="2:14" x14ac:dyDescent="0.25">
      <c r="B31" s="97" t="s">
        <v>176</v>
      </c>
      <c r="C31" s="145">
        <v>1.25</v>
      </c>
      <c r="D31" s="264">
        <v>0</v>
      </c>
      <c r="E31" s="265">
        <v>0</v>
      </c>
    </row>
    <row r="32" spans="2:14" x14ac:dyDescent="0.25">
      <c r="B32" s="97" t="s">
        <v>177</v>
      </c>
      <c r="C32" s="145">
        <v>2.5</v>
      </c>
      <c r="D32" s="264">
        <v>0</v>
      </c>
      <c r="E32" s="265">
        <v>0</v>
      </c>
    </row>
    <row r="33" spans="2:19" x14ac:dyDescent="0.25">
      <c r="B33" s="97" t="s">
        <v>178</v>
      </c>
      <c r="C33" s="145">
        <v>5</v>
      </c>
      <c r="D33" s="264">
        <v>0</v>
      </c>
      <c r="E33" s="265">
        <v>0</v>
      </c>
    </row>
    <row r="34" spans="2:19" x14ac:dyDescent="0.25">
      <c r="B34" s="97" t="s">
        <v>179</v>
      </c>
      <c r="C34" s="145">
        <v>0.04</v>
      </c>
      <c r="D34" s="264">
        <v>15</v>
      </c>
      <c r="E34" s="265">
        <v>1</v>
      </c>
    </row>
    <row r="35" spans="2:19" x14ac:dyDescent="0.25">
      <c r="B35" s="97" t="s">
        <v>180</v>
      </c>
      <c r="C35" s="145">
        <v>0.7</v>
      </c>
      <c r="D35" s="264">
        <v>22</v>
      </c>
      <c r="E35" s="265">
        <v>1</v>
      </c>
    </row>
    <row r="36" spans="2:19" x14ac:dyDescent="0.25">
      <c r="B36" s="98" t="s">
        <v>181</v>
      </c>
      <c r="C36" s="146">
        <v>1</v>
      </c>
      <c r="D36" s="266">
        <v>30</v>
      </c>
      <c r="E36" s="267">
        <v>1</v>
      </c>
    </row>
    <row r="39" spans="2:19" x14ac:dyDescent="0.25">
      <c r="B39" s="252" t="s">
        <v>478</v>
      </c>
    </row>
    <row r="40" spans="2:19" x14ac:dyDescent="0.25">
      <c r="C40" s="241"/>
      <c r="D40" s="241"/>
      <c r="E40" s="241"/>
      <c r="F40" s="241"/>
      <c r="G40" s="241"/>
      <c r="H40" s="241"/>
      <c r="I40" s="241"/>
      <c r="J40" s="241"/>
      <c r="K40" s="242"/>
      <c r="L40" s="242"/>
      <c r="M40" s="242"/>
      <c r="N40" s="241"/>
      <c r="O40" s="241"/>
      <c r="P40" s="242"/>
      <c r="Q40" s="241"/>
      <c r="R40" s="242"/>
      <c r="S40" s="242"/>
    </row>
    <row r="41" spans="2:19" x14ac:dyDescent="0.25">
      <c r="B41" s="100" t="s">
        <v>294</v>
      </c>
    </row>
    <row r="42" spans="2:19" x14ac:dyDescent="0.25">
      <c r="B42" s="19"/>
      <c r="C42" s="33"/>
      <c r="D42" s="33"/>
      <c r="E42" s="33"/>
      <c r="F42" s="13" t="s">
        <v>289</v>
      </c>
      <c r="G42" s="14"/>
      <c r="H42" s="14"/>
      <c r="I42" s="16" t="s">
        <v>462</v>
      </c>
      <c r="J42" s="17"/>
      <c r="K42" s="17"/>
      <c r="L42" s="18"/>
      <c r="M42" s="16" t="s">
        <v>766</v>
      </c>
      <c r="N42" s="17"/>
      <c r="O42" s="17"/>
      <c r="P42" s="19" t="s">
        <v>835</v>
      </c>
      <c r="Q42" s="34"/>
    </row>
    <row r="43" spans="2:19" x14ac:dyDescent="0.25">
      <c r="B43" s="26"/>
      <c r="C43" s="101"/>
      <c r="D43" s="101"/>
      <c r="E43" s="88" t="s">
        <v>255</v>
      </c>
      <c r="F43" s="85" t="s">
        <v>256</v>
      </c>
      <c r="G43" s="29" t="s">
        <v>257</v>
      </c>
      <c r="H43" s="29" t="s">
        <v>258</v>
      </c>
      <c r="I43" s="86"/>
      <c r="J43" s="45" t="s">
        <v>37</v>
      </c>
      <c r="K43" s="45"/>
      <c r="L43" s="49"/>
      <c r="M43" s="86" t="s">
        <v>767</v>
      </c>
      <c r="N43" s="45" t="s">
        <v>767</v>
      </c>
      <c r="O43" s="45" t="s">
        <v>834</v>
      </c>
      <c r="P43" s="85" t="s">
        <v>30</v>
      </c>
      <c r="Q43" s="237"/>
    </row>
    <row r="44" spans="2:19" x14ac:dyDescent="0.25">
      <c r="B44" s="86"/>
      <c r="C44" s="102"/>
      <c r="D44" s="102"/>
      <c r="E44" s="89" t="s">
        <v>323</v>
      </c>
      <c r="F44" s="45" t="s">
        <v>137</v>
      </c>
      <c r="G44" s="45" t="s">
        <v>138</v>
      </c>
      <c r="H44" s="45" t="s">
        <v>139</v>
      </c>
      <c r="I44" s="86" t="s">
        <v>12</v>
      </c>
      <c r="J44" s="45" t="s">
        <v>34</v>
      </c>
      <c r="K44" s="45" t="s">
        <v>13</v>
      </c>
      <c r="L44" s="49" t="s">
        <v>33</v>
      </c>
      <c r="M44" s="86" t="s">
        <v>73</v>
      </c>
      <c r="N44" s="45" t="s">
        <v>259</v>
      </c>
      <c r="O44" s="45" t="s">
        <v>768</v>
      </c>
      <c r="P44" s="86" t="s">
        <v>250</v>
      </c>
      <c r="Q44" s="238" t="s">
        <v>293</v>
      </c>
    </row>
    <row r="45" spans="2:19" x14ac:dyDescent="0.25">
      <c r="B45" s="86" t="s">
        <v>292</v>
      </c>
      <c r="C45" s="102" t="s">
        <v>287</v>
      </c>
      <c r="D45" s="158" t="s">
        <v>288</v>
      </c>
      <c r="E45" s="49" t="s">
        <v>769</v>
      </c>
      <c r="F45" s="45" t="s">
        <v>254</v>
      </c>
      <c r="G45" s="45" t="s">
        <v>254</v>
      </c>
      <c r="H45" s="45" t="s">
        <v>254</v>
      </c>
      <c r="I45" s="86" t="s">
        <v>66</v>
      </c>
      <c r="J45" s="45" t="s">
        <v>38</v>
      </c>
      <c r="K45" s="45" t="s">
        <v>35</v>
      </c>
      <c r="L45" s="49" t="s">
        <v>343</v>
      </c>
      <c r="M45" s="87" t="s">
        <v>69</v>
      </c>
      <c r="N45" s="67" t="s">
        <v>38</v>
      </c>
      <c r="O45" s="67" t="s">
        <v>38</v>
      </c>
      <c r="P45" s="87" t="s">
        <v>36</v>
      </c>
      <c r="Q45" s="239" t="s">
        <v>153</v>
      </c>
    </row>
    <row r="46" spans="2:19" x14ac:dyDescent="0.25">
      <c r="B46" s="85">
        <v>1</v>
      </c>
      <c r="C46" s="184" t="s">
        <v>447</v>
      </c>
      <c r="D46" s="269" t="s">
        <v>506</v>
      </c>
      <c r="E46" s="231" t="s">
        <v>321</v>
      </c>
      <c r="F46" s="253">
        <v>14.3</v>
      </c>
      <c r="G46" s="254">
        <v>14.3</v>
      </c>
      <c r="H46" s="254">
        <v>14.3</v>
      </c>
      <c r="I46" s="177">
        <v>2.5</v>
      </c>
      <c r="J46" s="152"/>
      <c r="K46" s="366"/>
      <c r="L46" s="153"/>
      <c r="M46" s="152"/>
      <c r="N46" s="152"/>
      <c r="O46" s="268"/>
      <c r="P46" s="231">
        <v>1</v>
      </c>
      <c r="Q46" s="270">
        <v>8</v>
      </c>
    </row>
    <row r="47" spans="2:19" x14ac:dyDescent="0.25">
      <c r="B47" s="86">
        <v>2</v>
      </c>
      <c r="C47" s="185" t="s">
        <v>448</v>
      </c>
      <c r="D47" s="232" t="s">
        <v>507</v>
      </c>
      <c r="E47" s="176" t="s">
        <v>322</v>
      </c>
      <c r="F47" s="255">
        <v>107.1</v>
      </c>
      <c r="G47" s="256">
        <v>107.1</v>
      </c>
      <c r="H47" s="256">
        <v>107.1</v>
      </c>
      <c r="I47" s="159">
        <v>1.8</v>
      </c>
      <c r="J47" s="154">
        <v>3</v>
      </c>
      <c r="K47" s="160">
        <v>7</v>
      </c>
      <c r="L47" s="155">
        <v>1</v>
      </c>
      <c r="M47" s="154"/>
      <c r="N47" s="154"/>
      <c r="O47" s="230"/>
      <c r="P47" s="176">
        <v>1</v>
      </c>
      <c r="Q47" s="235">
        <v>8</v>
      </c>
    </row>
    <row r="48" spans="2:19" x14ac:dyDescent="0.25">
      <c r="B48" s="86">
        <v>3</v>
      </c>
      <c r="C48" s="185" t="s">
        <v>449</v>
      </c>
      <c r="D48" s="232" t="s">
        <v>508</v>
      </c>
      <c r="E48" s="176" t="s">
        <v>321</v>
      </c>
      <c r="F48" s="255">
        <v>4.3</v>
      </c>
      <c r="G48" s="256">
        <v>4.3</v>
      </c>
      <c r="H48" s="256">
        <v>4.3</v>
      </c>
      <c r="I48" s="240">
        <v>3</v>
      </c>
      <c r="J48" s="230"/>
      <c r="K48" s="230"/>
      <c r="L48" s="155"/>
      <c r="M48" s="154">
        <v>25</v>
      </c>
      <c r="N48" s="178">
        <v>0.2</v>
      </c>
      <c r="O48" s="230"/>
      <c r="P48" s="176">
        <v>4</v>
      </c>
      <c r="Q48" s="235">
        <v>8</v>
      </c>
    </row>
    <row r="49" spans="2:17" x14ac:dyDescent="0.25">
      <c r="B49" s="86">
        <v>4</v>
      </c>
      <c r="C49" s="185" t="s">
        <v>450</v>
      </c>
      <c r="D49" s="232" t="s">
        <v>509</v>
      </c>
      <c r="E49" s="176" t="s">
        <v>321</v>
      </c>
      <c r="F49" s="255">
        <v>9.5</v>
      </c>
      <c r="G49" s="256">
        <v>9.5</v>
      </c>
      <c r="H49" s="256">
        <v>9.5</v>
      </c>
      <c r="I49" s="240">
        <v>2.5</v>
      </c>
      <c r="J49" s="230"/>
      <c r="K49" s="230"/>
      <c r="L49" s="155"/>
      <c r="M49" s="154">
        <v>50</v>
      </c>
      <c r="N49" s="178">
        <v>0.4</v>
      </c>
      <c r="O49" s="230"/>
      <c r="P49" s="176">
        <v>4</v>
      </c>
      <c r="Q49" s="235">
        <v>8</v>
      </c>
    </row>
    <row r="50" spans="2:17" x14ac:dyDescent="0.25">
      <c r="B50" s="86">
        <v>5</v>
      </c>
      <c r="C50" s="185" t="s">
        <v>451</v>
      </c>
      <c r="D50" s="232" t="s">
        <v>510</v>
      </c>
      <c r="E50" s="176" t="s">
        <v>321</v>
      </c>
      <c r="F50" s="255">
        <v>14.3</v>
      </c>
      <c r="G50" s="256">
        <v>14.3</v>
      </c>
      <c r="H50" s="256">
        <v>14.3</v>
      </c>
      <c r="I50" s="240">
        <v>2</v>
      </c>
      <c r="J50" s="230"/>
      <c r="K50" s="230"/>
      <c r="L50" s="155"/>
      <c r="M50" s="154">
        <v>75</v>
      </c>
      <c r="N50" s="178">
        <v>0.4</v>
      </c>
      <c r="O50" s="230"/>
      <c r="P50" s="176">
        <v>4</v>
      </c>
      <c r="Q50" s="235">
        <v>8</v>
      </c>
    </row>
    <row r="51" spans="2:17" x14ac:dyDescent="0.25">
      <c r="B51" s="86">
        <v>6</v>
      </c>
      <c r="C51" s="185" t="s">
        <v>452</v>
      </c>
      <c r="D51" s="232" t="s">
        <v>511</v>
      </c>
      <c r="E51" s="176" t="s">
        <v>322</v>
      </c>
      <c r="F51" s="255">
        <v>22.9</v>
      </c>
      <c r="G51" s="256">
        <v>22.9</v>
      </c>
      <c r="H51" s="256">
        <v>22.9</v>
      </c>
      <c r="I51" s="240">
        <v>1.8</v>
      </c>
      <c r="J51" s="230"/>
      <c r="K51" s="230"/>
      <c r="L51" s="155"/>
      <c r="M51" s="154">
        <v>120</v>
      </c>
      <c r="N51" s="178">
        <v>0.4</v>
      </c>
      <c r="O51" s="230"/>
      <c r="P51" s="176">
        <v>4</v>
      </c>
      <c r="Q51" s="235">
        <v>8</v>
      </c>
    </row>
    <row r="52" spans="2:17" x14ac:dyDescent="0.25">
      <c r="B52" s="86">
        <v>7</v>
      </c>
      <c r="C52" s="185" t="s">
        <v>453</v>
      </c>
      <c r="D52" s="232" t="s">
        <v>512</v>
      </c>
      <c r="E52" s="176" t="s">
        <v>322</v>
      </c>
      <c r="F52" s="255">
        <v>28.6</v>
      </c>
      <c r="G52" s="256">
        <v>28.6</v>
      </c>
      <c r="H52" s="256">
        <v>28.6</v>
      </c>
      <c r="I52" s="159">
        <v>2.6</v>
      </c>
      <c r="J52" s="154">
        <v>3</v>
      </c>
      <c r="K52" s="160">
        <v>7</v>
      </c>
      <c r="L52" s="190">
        <v>3</v>
      </c>
      <c r="M52" s="154"/>
      <c r="N52" s="154"/>
      <c r="O52" s="160">
        <v>2</v>
      </c>
      <c r="P52" s="176">
        <v>4</v>
      </c>
      <c r="Q52" s="235">
        <v>8</v>
      </c>
    </row>
    <row r="53" spans="2:17" x14ac:dyDescent="0.25">
      <c r="B53" s="86">
        <v>8</v>
      </c>
      <c r="C53" s="185" t="s">
        <v>454</v>
      </c>
      <c r="D53" s="232" t="s">
        <v>513</v>
      </c>
      <c r="E53" s="176" t="s">
        <v>322</v>
      </c>
      <c r="F53" s="255">
        <v>35.700000000000003</v>
      </c>
      <c r="G53" s="256">
        <v>35.700000000000003</v>
      </c>
      <c r="H53" s="256">
        <v>35.700000000000003</v>
      </c>
      <c r="I53" s="159">
        <v>2.4</v>
      </c>
      <c r="J53" s="154">
        <v>3</v>
      </c>
      <c r="K53" s="160">
        <v>7</v>
      </c>
      <c r="L53" s="190">
        <v>2</v>
      </c>
      <c r="M53" s="154"/>
      <c r="N53" s="154"/>
      <c r="O53" s="160">
        <v>3</v>
      </c>
      <c r="P53" s="176">
        <v>4</v>
      </c>
      <c r="Q53" s="235">
        <v>8</v>
      </c>
    </row>
    <row r="54" spans="2:17" x14ac:dyDescent="0.25">
      <c r="B54" s="86">
        <v>9</v>
      </c>
      <c r="C54" s="185" t="s">
        <v>456</v>
      </c>
      <c r="D54" s="232" t="s">
        <v>514</v>
      </c>
      <c r="E54" s="176" t="s">
        <v>322</v>
      </c>
      <c r="F54" s="255">
        <v>50</v>
      </c>
      <c r="G54" s="256">
        <v>50</v>
      </c>
      <c r="H54" s="256">
        <v>50</v>
      </c>
      <c r="I54" s="159">
        <v>2.2000000000000002</v>
      </c>
      <c r="J54" s="154">
        <v>3</v>
      </c>
      <c r="K54" s="160">
        <v>7</v>
      </c>
      <c r="L54" s="190">
        <v>2</v>
      </c>
      <c r="M54" s="154"/>
      <c r="N54" s="154"/>
      <c r="O54" s="160">
        <v>4</v>
      </c>
      <c r="P54" s="176">
        <v>4</v>
      </c>
      <c r="Q54" s="235">
        <v>8</v>
      </c>
    </row>
    <row r="55" spans="2:17" x14ac:dyDescent="0.25">
      <c r="B55" s="86">
        <v>10</v>
      </c>
      <c r="C55" s="185" t="s">
        <v>455</v>
      </c>
      <c r="D55" s="232" t="s">
        <v>515</v>
      </c>
      <c r="E55" s="176" t="s">
        <v>322</v>
      </c>
      <c r="F55" s="255">
        <v>71.400000000000006</v>
      </c>
      <c r="G55" s="256">
        <v>71.400000000000006</v>
      </c>
      <c r="H55" s="256">
        <v>71.400000000000006</v>
      </c>
      <c r="I55" s="159">
        <v>2</v>
      </c>
      <c r="J55" s="154">
        <v>3</v>
      </c>
      <c r="K55" s="160">
        <v>7</v>
      </c>
      <c r="L55" s="190">
        <v>2</v>
      </c>
      <c r="M55" s="154"/>
      <c r="N55" s="154"/>
      <c r="O55" s="160">
        <v>5</v>
      </c>
      <c r="P55" s="176">
        <v>4</v>
      </c>
      <c r="Q55" s="235">
        <v>8</v>
      </c>
    </row>
    <row r="56" spans="2:17" x14ac:dyDescent="0.25">
      <c r="B56" s="86">
        <v>11</v>
      </c>
      <c r="C56" s="185" t="s">
        <v>457</v>
      </c>
      <c r="D56" s="232" t="s">
        <v>516</v>
      </c>
      <c r="E56" s="176" t="s">
        <v>322</v>
      </c>
      <c r="F56" s="255">
        <v>107.1</v>
      </c>
      <c r="G56" s="256">
        <v>107.1</v>
      </c>
      <c r="H56" s="256">
        <v>107.1</v>
      </c>
      <c r="I56" s="159">
        <v>1.8</v>
      </c>
      <c r="J56" s="154">
        <v>3</v>
      </c>
      <c r="K56" s="160">
        <v>7</v>
      </c>
      <c r="L56" s="190">
        <v>2</v>
      </c>
      <c r="M56" s="154"/>
      <c r="N56" s="154"/>
      <c r="O56" s="160">
        <v>6</v>
      </c>
      <c r="P56" s="176">
        <v>4</v>
      </c>
      <c r="Q56" s="235">
        <v>8</v>
      </c>
    </row>
    <row r="57" spans="2:17" x14ac:dyDescent="0.25">
      <c r="B57" s="86">
        <v>12</v>
      </c>
      <c r="C57" s="185" t="s">
        <v>461</v>
      </c>
      <c r="D57" s="232" t="s">
        <v>517</v>
      </c>
      <c r="E57" s="176" t="s">
        <v>321</v>
      </c>
      <c r="F57" s="255">
        <v>2.9</v>
      </c>
      <c r="G57" s="256">
        <v>2.9</v>
      </c>
      <c r="H57" s="256">
        <v>2.9</v>
      </c>
      <c r="I57" s="159">
        <v>12</v>
      </c>
      <c r="J57" s="154"/>
      <c r="K57" s="160"/>
      <c r="L57" s="190"/>
      <c r="M57" s="230"/>
      <c r="N57" s="154"/>
      <c r="O57" s="230"/>
      <c r="P57" s="176">
        <v>12</v>
      </c>
      <c r="Q57" s="235">
        <v>4</v>
      </c>
    </row>
    <row r="58" spans="2:17" x14ac:dyDescent="0.25">
      <c r="B58" s="86">
        <v>13</v>
      </c>
      <c r="C58" s="185" t="s">
        <v>458</v>
      </c>
      <c r="D58" s="232" t="s">
        <v>518</v>
      </c>
      <c r="E58" s="176" t="s">
        <v>322</v>
      </c>
      <c r="F58" s="255">
        <v>14.3</v>
      </c>
      <c r="G58" s="256">
        <v>14.3</v>
      </c>
      <c r="H58" s="256">
        <v>14.3</v>
      </c>
      <c r="I58" s="159">
        <v>8</v>
      </c>
      <c r="J58" s="154">
        <v>3</v>
      </c>
      <c r="K58" s="160">
        <v>7</v>
      </c>
      <c r="L58" s="190">
        <v>4</v>
      </c>
      <c r="M58" s="154"/>
      <c r="N58" s="154"/>
      <c r="O58" s="230"/>
      <c r="P58" s="176">
        <v>12</v>
      </c>
      <c r="Q58" s="235">
        <v>4</v>
      </c>
    </row>
    <row r="59" spans="2:17" x14ac:dyDescent="0.25">
      <c r="B59" s="86">
        <v>14</v>
      </c>
      <c r="C59" s="185" t="s">
        <v>459</v>
      </c>
      <c r="D59" s="232" t="s">
        <v>519</v>
      </c>
      <c r="E59" s="176" t="s">
        <v>321</v>
      </c>
      <c r="F59" s="255">
        <v>0.7</v>
      </c>
      <c r="G59" s="256">
        <v>0.7</v>
      </c>
      <c r="H59" s="256">
        <v>0.7</v>
      </c>
      <c r="I59" s="159">
        <v>16</v>
      </c>
      <c r="J59" s="154"/>
      <c r="K59" s="160"/>
      <c r="L59" s="190"/>
      <c r="M59" s="154"/>
      <c r="N59" s="154"/>
      <c r="O59" s="230"/>
      <c r="P59" s="176">
        <v>14</v>
      </c>
      <c r="Q59" s="235">
        <v>4</v>
      </c>
    </row>
    <row r="60" spans="2:17" x14ac:dyDescent="0.25">
      <c r="B60" s="86">
        <v>15</v>
      </c>
      <c r="C60" s="185" t="s">
        <v>460</v>
      </c>
      <c r="D60" s="232" t="s">
        <v>520</v>
      </c>
      <c r="E60" s="176" t="s">
        <v>322</v>
      </c>
      <c r="F60" s="255">
        <v>7.1</v>
      </c>
      <c r="G60" s="256">
        <v>7.1</v>
      </c>
      <c r="H60" s="256">
        <v>7.1</v>
      </c>
      <c r="I60" s="159">
        <v>12</v>
      </c>
      <c r="J60" s="154">
        <v>3</v>
      </c>
      <c r="K60" s="160">
        <v>7</v>
      </c>
      <c r="L60" s="190">
        <v>5</v>
      </c>
      <c r="M60" s="154"/>
      <c r="N60" s="154"/>
      <c r="O60" s="230"/>
      <c r="P60" s="176">
        <v>14</v>
      </c>
      <c r="Q60" s="235">
        <v>4</v>
      </c>
    </row>
    <row r="61" spans="2:17" x14ac:dyDescent="0.25">
      <c r="B61" s="86">
        <v>16</v>
      </c>
      <c r="C61" s="185" t="s">
        <v>486</v>
      </c>
      <c r="D61" s="232" t="s">
        <v>521</v>
      </c>
      <c r="E61" s="176" t="s">
        <v>321</v>
      </c>
      <c r="F61" s="255">
        <v>2.9</v>
      </c>
      <c r="G61" s="256">
        <v>2.9</v>
      </c>
      <c r="H61" s="256">
        <v>2.9</v>
      </c>
      <c r="I61" s="159">
        <v>8</v>
      </c>
      <c r="J61" s="154"/>
      <c r="K61" s="160"/>
      <c r="L61" s="190"/>
      <c r="M61" s="230"/>
      <c r="N61" s="154"/>
      <c r="O61" s="230"/>
      <c r="P61" s="176">
        <v>16</v>
      </c>
      <c r="Q61" s="235">
        <v>8</v>
      </c>
    </row>
    <row r="62" spans="2:17" x14ac:dyDescent="0.25">
      <c r="B62" s="86">
        <v>17</v>
      </c>
      <c r="C62" s="185" t="s">
        <v>487</v>
      </c>
      <c r="D62" s="232" t="s">
        <v>522</v>
      </c>
      <c r="E62" s="176" t="s">
        <v>322</v>
      </c>
      <c r="F62" s="255">
        <v>14.3</v>
      </c>
      <c r="G62" s="256">
        <v>14.3</v>
      </c>
      <c r="H62" s="256">
        <v>14.3</v>
      </c>
      <c r="I62" s="159">
        <v>4</v>
      </c>
      <c r="J62" s="154">
        <v>3</v>
      </c>
      <c r="K62" s="160">
        <v>7</v>
      </c>
      <c r="L62" s="190">
        <v>6</v>
      </c>
      <c r="M62" s="154"/>
      <c r="N62" s="154"/>
      <c r="O62" s="230"/>
      <c r="P62" s="176">
        <v>16</v>
      </c>
      <c r="Q62" s="235">
        <v>8</v>
      </c>
    </row>
    <row r="63" spans="2:17" x14ac:dyDescent="0.25">
      <c r="B63" s="86">
        <v>18</v>
      </c>
      <c r="C63" s="185" t="s">
        <v>488</v>
      </c>
      <c r="D63" s="232" t="s">
        <v>523</v>
      </c>
      <c r="E63" s="176" t="s">
        <v>321</v>
      </c>
      <c r="F63" s="255">
        <v>2.9</v>
      </c>
      <c r="G63" s="256">
        <v>2.9</v>
      </c>
      <c r="H63" s="256">
        <v>2.9</v>
      </c>
      <c r="I63" s="159">
        <v>8</v>
      </c>
      <c r="J63" s="154"/>
      <c r="K63" s="160"/>
      <c r="L63" s="190"/>
      <c r="M63" s="230"/>
      <c r="N63" s="154"/>
      <c r="O63" s="230"/>
      <c r="P63" s="176">
        <v>18</v>
      </c>
      <c r="Q63" s="235">
        <v>8</v>
      </c>
    </row>
    <row r="64" spans="2:17" x14ac:dyDescent="0.25">
      <c r="B64" s="86">
        <v>19</v>
      </c>
      <c r="C64" s="185" t="s">
        <v>489</v>
      </c>
      <c r="D64" s="232" t="s">
        <v>524</v>
      </c>
      <c r="E64" s="176" t="s">
        <v>322</v>
      </c>
      <c r="F64" s="255">
        <v>14.3</v>
      </c>
      <c r="G64" s="256">
        <v>14.3</v>
      </c>
      <c r="H64" s="256">
        <v>14.3</v>
      </c>
      <c r="I64" s="159">
        <v>4</v>
      </c>
      <c r="J64" s="154">
        <v>3</v>
      </c>
      <c r="K64" s="160">
        <v>7</v>
      </c>
      <c r="L64" s="190">
        <v>7</v>
      </c>
      <c r="M64" s="154"/>
      <c r="N64" s="154"/>
      <c r="O64" s="230"/>
      <c r="P64" s="176">
        <v>18</v>
      </c>
      <c r="Q64" s="235">
        <v>8</v>
      </c>
    </row>
    <row r="65" spans="2:17" x14ac:dyDescent="0.25">
      <c r="B65" s="86">
        <v>20</v>
      </c>
      <c r="C65" s="185" t="s">
        <v>525</v>
      </c>
      <c r="D65" s="232" t="s">
        <v>532</v>
      </c>
      <c r="E65" s="176" t="s">
        <v>531</v>
      </c>
      <c r="F65" s="255">
        <f>+F64*1.5</f>
        <v>21.450000000000003</v>
      </c>
      <c r="G65" s="256">
        <f t="shared" ref="G65:H65" si="0">+G64*1.5</f>
        <v>21.450000000000003</v>
      </c>
      <c r="H65" s="256">
        <f t="shared" si="0"/>
        <v>21.450000000000003</v>
      </c>
      <c r="I65" s="159">
        <v>4</v>
      </c>
      <c r="J65" s="154">
        <v>3</v>
      </c>
      <c r="K65" s="160">
        <v>7</v>
      </c>
      <c r="L65" s="190">
        <v>7</v>
      </c>
      <c r="M65" s="230"/>
      <c r="N65" s="154"/>
      <c r="O65" s="230"/>
      <c r="P65" s="176">
        <v>18</v>
      </c>
      <c r="Q65" s="235">
        <v>8</v>
      </c>
    </row>
    <row r="66" spans="2:17" x14ac:dyDescent="0.25">
      <c r="B66" s="86">
        <v>21</v>
      </c>
      <c r="C66" s="185" t="s">
        <v>526</v>
      </c>
      <c r="D66" s="232" t="s">
        <v>533</v>
      </c>
      <c r="E66" s="176" t="s">
        <v>531</v>
      </c>
      <c r="F66" s="255">
        <f>+F62*1.5</f>
        <v>21.450000000000003</v>
      </c>
      <c r="G66" s="256">
        <f t="shared" ref="G66:H66" si="1">+G62*1.5</f>
        <v>21.450000000000003</v>
      </c>
      <c r="H66" s="256">
        <f t="shared" si="1"/>
        <v>21.450000000000003</v>
      </c>
      <c r="I66" s="159">
        <v>4</v>
      </c>
      <c r="J66" s="154">
        <v>3</v>
      </c>
      <c r="K66" s="160">
        <v>7</v>
      </c>
      <c r="L66" s="190">
        <v>6</v>
      </c>
      <c r="M66" s="230"/>
      <c r="N66" s="154"/>
      <c r="O66" s="230"/>
      <c r="P66" s="176">
        <v>16</v>
      </c>
      <c r="Q66" s="235">
        <v>8</v>
      </c>
    </row>
    <row r="67" spans="2:17" x14ac:dyDescent="0.25">
      <c r="B67" s="86">
        <v>22</v>
      </c>
      <c r="C67" s="185" t="s">
        <v>529</v>
      </c>
      <c r="D67" s="232" t="s">
        <v>534</v>
      </c>
      <c r="E67" s="176" t="s">
        <v>531</v>
      </c>
      <c r="F67" s="255">
        <f>+F58*1.5</f>
        <v>21.450000000000003</v>
      </c>
      <c r="G67" s="256">
        <f t="shared" ref="G67:H67" si="2">+G58*1.5</f>
        <v>21.450000000000003</v>
      </c>
      <c r="H67" s="256">
        <f t="shared" si="2"/>
        <v>21.450000000000003</v>
      </c>
      <c r="I67" s="159">
        <v>8</v>
      </c>
      <c r="J67" s="154">
        <v>3</v>
      </c>
      <c r="K67" s="160">
        <v>7</v>
      </c>
      <c r="L67" s="190">
        <v>4</v>
      </c>
      <c r="M67" s="230"/>
      <c r="N67" s="154"/>
      <c r="O67" s="230"/>
      <c r="P67" s="176">
        <v>12</v>
      </c>
      <c r="Q67" s="235">
        <v>4</v>
      </c>
    </row>
    <row r="68" spans="2:17" x14ac:dyDescent="0.25">
      <c r="B68" s="86">
        <v>23</v>
      </c>
      <c r="C68" s="185" t="s">
        <v>530</v>
      </c>
      <c r="D68" s="232" t="s">
        <v>535</v>
      </c>
      <c r="E68" s="176" t="s">
        <v>531</v>
      </c>
      <c r="F68" s="255">
        <f>+F51*1.5</f>
        <v>34.349999999999994</v>
      </c>
      <c r="G68" s="256">
        <f t="shared" ref="G68:H68" si="3">+G51*1.5</f>
        <v>34.349999999999994</v>
      </c>
      <c r="H68" s="256">
        <f t="shared" si="3"/>
        <v>34.349999999999994</v>
      </c>
      <c r="I68" s="159">
        <v>2.6</v>
      </c>
      <c r="J68" s="154">
        <v>3</v>
      </c>
      <c r="K68" s="160">
        <v>7</v>
      </c>
      <c r="L68" s="190">
        <v>3</v>
      </c>
      <c r="M68" s="230"/>
      <c r="N68" s="154"/>
      <c r="O68" s="160">
        <v>2</v>
      </c>
      <c r="P68" s="176">
        <v>4</v>
      </c>
      <c r="Q68" s="235">
        <v>8</v>
      </c>
    </row>
    <row r="69" spans="2:17" x14ac:dyDescent="0.25">
      <c r="B69" s="86">
        <v>24</v>
      </c>
      <c r="C69" s="185" t="s">
        <v>527</v>
      </c>
      <c r="D69" s="232" t="s">
        <v>536</v>
      </c>
      <c r="E69" s="176" t="s">
        <v>531</v>
      </c>
      <c r="F69" s="255">
        <f>+F54*1.5</f>
        <v>75</v>
      </c>
      <c r="G69" s="256">
        <f t="shared" ref="G69:H69" si="4">+G54*1.5</f>
        <v>75</v>
      </c>
      <c r="H69" s="256">
        <f t="shared" si="4"/>
        <v>75</v>
      </c>
      <c r="I69" s="159">
        <v>2.2000000000000002</v>
      </c>
      <c r="J69" s="154">
        <v>3</v>
      </c>
      <c r="K69" s="160">
        <v>7</v>
      </c>
      <c r="L69" s="190">
        <v>2</v>
      </c>
      <c r="M69" s="230"/>
      <c r="N69" s="154"/>
      <c r="O69" s="160">
        <v>4</v>
      </c>
      <c r="P69" s="176">
        <v>4</v>
      </c>
      <c r="Q69" s="235">
        <v>8</v>
      </c>
    </row>
    <row r="70" spans="2:17" x14ac:dyDescent="0.25">
      <c r="B70" s="87">
        <v>25</v>
      </c>
      <c r="C70" s="186" t="s">
        <v>528</v>
      </c>
      <c r="D70" s="234" t="s">
        <v>532</v>
      </c>
      <c r="E70" s="180" t="s">
        <v>531</v>
      </c>
      <c r="F70" s="257">
        <f>+F47*1.5</f>
        <v>160.64999999999998</v>
      </c>
      <c r="G70" s="258">
        <f t="shared" ref="G70:H70" si="5">+G47*1.5</f>
        <v>160.64999999999998</v>
      </c>
      <c r="H70" s="258">
        <f t="shared" si="5"/>
        <v>160.64999999999998</v>
      </c>
      <c r="I70" s="161">
        <v>1.8</v>
      </c>
      <c r="J70" s="156">
        <v>3</v>
      </c>
      <c r="K70" s="162">
        <v>7</v>
      </c>
      <c r="L70" s="191">
        <v>1</v>
      </c>
      <c r="M70" s="156"/>
      <c r="N70" s="156"/>
      <c r="O70" s="233"/>
      <c r="P70" s="180">
        <v>1</v>
      </c>
      <c r="Q70" s="236">
        <v>8</v>
      </c>
    </row>
    <row r="72" spans="2:17" x14ac:dyDescent="0.25">
      <c r="B72" s="106" t="s">
        <v>309</v>
      </c>
      <c r="C72" s="94"/>
      <c r="D72" s="106"/>
      <c r="E72" s="42"/>
      <c r="F72" s="42"/>
      <c r="G72" s="106"/>
      <c r="H72" s="42"/>
      <c r="I72" s="42"/>
    </row>
    <row r="73" spans="2:17" x14ac:dyDescent="0.25">
      <c r="B73" s="95" t="s">
        <v>33</v>
      </c>
      <c r="C73" s="188" t="s">
        <v>311</v>
      </c>
      <c r="D73" s="188"/>
      <c r="E73" s="188"/>
      <c r="F73" s="188"/>
      <c r="G73" s="188"/>
      <c r="H73" s="188"/>
      <c r="I73" s="189"/>
    </row>
    <row r="74" spans="2:17" x14ac:dyDescent="0.25">
      <c r="B74" s="98" t="s">
        <v>0</v>
      </c>
      <c r="C74" s="99" t="s">
        <v>338</v>
      </c>
      <c r="D74" s="98" t="s">
        <v>336</v>
      </c>
      <c r="E74" s="98" t="s">
        <v>339</v>
      </c>
      <c r="F74" s="98" t="s">
        <v>337</v>
      </c>
      <c r="G74" s="98" t="s">
        <v>340</v>
      </c>
      <c r="H74" s="98" t="s">
        <v>341</v>
      </c>
      <c r="I74" s="98" t="s">
        <v>342</v>
      </c>
    </row>
    <row r="75" spans="2:17" x14ac:dyDescent="0.25">
      <c r="B75" s="97" t="s">
        <v>29</v>
      </c>
      <c r="C75" s="261">
        <v>2000</v>
      </c>
      <c r="D75" s="261">
        <v>4000</v>
      </c>
      <c r="E75" s="261">
        <v>4000</v>
      </c>
      <c r="F75" s="261">
        <v>4000</v>
      </c>
      <c r="G75" s="261">
        <v>6000</v>
      </c>
      <c r="H75" s="261">
        <v>6000</v>
      </c>
      <c r="I75" s="261">
        <v>6000</v>
      </c>
    </row>
    <row r="76" spans="2:17" x14ac:dyDescent="0.25">
      <c r="B76" s="97" t="s">
        <v>2</v>
      </c>
      <c r="C76" s="262">
        <v>2000</v>
      </c>
      <c r="D76" s="262">
        <v>4000</v>
      </c>
      <c r="E76" s="262">
        <v>4000</v>
      </c>
      <c r="F76" s="262">
        <v>4000</v>
      </c>
      <c r="G76" s="262">
        <v>6000</v>
      </c>
      <c r="H76" s="262">
        <v>6000</v>
      </c>
      <c r="I76" s="262">
        <v>6000</v>
      </c>
    </row>
    <row r="77" spans="2:17" x14ac:dyDescent="0.25">
      <c r="B77" s="97" t="s">
        <v>3</v>
      </c>
      <c r="C77" s="262">
        <v>2000</v>
      </c>
      <c r="D77" s="262">
        <v>4000</v>
      </c>
      <c r="E77" s="262">
        <v>4000</v>
      </c>
      <c r="F77" s="262">
        <v>4000</v>
      </c>
      <c r="G77" s="262">
        <v>6000</v>
      </c>
      <c r="H77" s="262">
        <v>6000</v>
      </c>
      <c r="I77" s="262">
        <v>6000</v>
      </c>
    </row>
    <row r="78" spans="2:17" x14ac:dyDescent="0.25">
      <c r="B78" s="97" t="s">
        <v>4</v>
      </c>
      <c r="C78" s="262">
        <v>1000</v>
      </c>
      <c r="D78" s="262">
        <v>2000</v>
      </c>
      <c r="E78" s="262">
        <v>2000</v>
      </c>
      <c r="F78" s="262">
        <v>2000</v>
      </c>
      <c r="G78" s="262">
        <v>3000</v>
      </c>
      <c r="H78" s="262">
        <v>3000</v>
      </c>
      <c r="I78" s="262">
        <v>3000</v>
      </c>
    </row>
    <row r="79" spans="2:17" x14ac:dyDescent="0.25">
      <c r="B79" s="97" t="s">
        <v>5</v>
      </c>
      <c r="C79" s="262">
        <v>500</v>
      </c>
      <c r="D79" s="262">
        <v>1000</v>
      </c>
      <c r="E79" s="262">
        <v>1000</v>
      </c>
      <c r="F79" s="262">
        <v>1000</v>
      </c>
      <c r="G79" s="262">
        <v>1500</v>
      </c>
      <c r="H79" s="262">
        <v>1500</v>
      </c>
      <c r="I79" s="262">
        <v>1500</v>
      </c>
    </row>
    <row r="80" spans="2:17" x14ac:dyDescent="0.25">
      <c r="B80" s="97" t="s">
        <v>465</v>
      </c>
      <c r="C80" s="262">
        <v>500</v>
      </c>
      <c r="D80" s="262">
        <v>1000</v>
      </c>
      <c r="E80" s="262">
        <v>1000</v>
      </c>
      <c r="F80" s="262">
        <v>1000</v>
      </c>
      <c r="G80" s="262">
        <v>1500</v>
      </c>
      <c r="H80" s="262">
        <v>1500</v>
      </c>
      <c r="I80" s="262">
        <v>1500</v>
      </c>
    </row>
    <row r="81" spans="2:9" x14ac:dyDescent="0.25">
      <c r="B81" s="98" t="s">
        <v>466</v>
      </c>
      <c r="C81" s="263">
        <v>500</v>
      </c>
      <c r="D81" s="263">
        <v>1000</v>
      </c>
      <c r="E81" s="263">
        <v>1000</v>
      </c>
      <c r="F81" s="263">
        <v>1000</v>
      </c>
      <c r="G81" s="263">
        <v>1500</v>
      </c>
      <c r="H81" s="263">
        <v>1500</v>
      </c>
      <c r="I81" s="263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52" t="s">
        <v>479</v>
      </c>
      <c r="C84" s="2"/>
    </row>
    <row r="86" spans="2:9" x14ac:dyDescent="0.25">
      <c r="B86" s="100" t="s">
        <v>282</v>
      </c>
    </row>
    <row r="87" spans="2:9" x14ac:dyDescent="0.25">
      <c r="B87" s="85" t="s">
        <v>36</v>
      </c>
      <c r="C87" s="88" t="s">
        <v>836</v>
      </c>
      <c r="D87" s="88" t="s">
        <v>836</v>
      </c>
    </row>
    <row r="88" spans="2:9" x14ac:dyDescent="0.25">
      <c r="B88" s="86" t="s">
        <v>310</v>
      </c>
      <c r="C88" s="89" t="s">
        <v>59</v>
      </c>
      <c r="D88" s="89" t="s">
        <v>36</v>
      </c>
    </row>
    <row r="89" spans="2:9" x14ac:dyDescent="0.25">
      <c r="B89" s="86" t="s">
        <v>34</v>
      </c>
      <c r="C89" s="89" t="s">
        <v>13</v>
      </c>
      <c r="D89" s="89" t="s">
        <v>310</v>
      </c>
    </row>
    <row r="90" spans="2:9" x14ac:dyDescent="0.25">
      <c r="B90" s="87" t="s">
        <v>38</v>
      </c>
      <c r="C90" s="90" t="s">
        <v>35</v>
      </c>
      <c r="D90" s="90" t="s">
        <v>38</v>
      </c>
    </row>
    <row r="91" spans="2:9" x14ac:dyDescent="0.25">
      <c r="B91" s="86" t="s">
        <v>338</v>
      </c>
      <c r="C91" s="91">
        <v>3.5</v>
      </c>
      <c r="D91" s="371">
        <v>1</v>
      </c>
      <c r="E91" s="2"/>
    </row>
    <row r="92" spans="2:9" x14ac:dyDescent="0.25">
      <c r="B92" s="86" t="s">
        <v>336</v>
      </c>
      <c r="C92" s="92">
        <v>5</v>
      </c>
      <c r="D92" s="372">
        <v>2</v>
      </c>
      <c r="E92" s="2"/>
    </row>
    <row r="93" spans="2:9" x14ac:dyDescent="0.25">
      <c r="B93" s="86" t="s">
        <v>339</v>
      </c>
      <c r="C93" s="92">
        <v>7</v>
      </c>
      <c r="D93" s="372">
        <v>2</v>
      </c>
      <c r="E93" s="2"/>
    </row>
    <row r="94" spans="2:9" x14ac:dyDescent="0.25">
      <c r="B94" s="86" t="s">
        <v>337</v>
      </c>
      <c r="C94" s="92">
        <v>9</v>
      </c>
      <c r="D94" s="372">
        <v>2</v>
      </c>
      <c r="E94" s="2"/>
    </row>
    <row r="95" spans="2:9" x14ac:dyDescent="0.25">
      <c r="B95" s="86" t="s">
        <v>340</v>
      </c>
      <c r="C95" s="92">
        <f>3.5*4</f>
        <v>14</v>
      </c>
      <c r="D95" s="372">
        <v>4</v>
      </c>
      <c r="E95" s="2"/>
    </row>
    <row r="96" spans="2:9" x14ac:dyDescent="0.25">
      <c r="B96" s="86" t="s">
        <v>341</v>
      </c>
      <c r="C96" s="92">
        <f>3.5*6</f>
        <v>21</v>
      </c>
      <c r="D96" s="372">
        <v>6</v>
      </c>
      <c r="E96" s="2"/>
    </row>
    <row r="97" spans="2:8" x14ac:dyDescent="0.25">
      <c r="B97" s="87" t="s">
        <v>342</v>
      </c>
      <c r="C97" s="93">
        <f>3.5*8</f>
        <v>28</v>
      </c>
      <c r="D97" s="373">
        <v>8</v>
      </c>
      <c r="E97" s="2"/>
    </row>
    <row r="99" spans="2:8" x14ac:dyDescent="0.25">
      <c r="B99" s="100" t="s">
        <v>297</v>
      </c>
    </row>
    <row r="100" spans="2:8" x14ac:dyDescent="0.25">
      <c r="B100" s="26"/>
      <c r="C100" s="27"/>
      <c r="D100" s="16" t="s">
        <v>140</v>
      </c>
      <c r="E100" s="17"/>
      <c r="F100" s="17"/>
      <c r="G100" s="17"/>
      <c r="H100" s="18"/>
    </row>
    <row r="101" spans="2:8" x14ac:dyDescent="0.25">
      <c r="B101" s="40"/>
      <c r="C101" s="41"/>
      <c r="D101" s="86">
        <v>1</v>
      </c>
      <c r="E101" s="45">
        <v>2</v>
      </c>
      <c r="F101" s="45">
        <v>3</v>
      </c>
      <c r="G101" s="45">
        <v>4</v>
      </c>
      <c r="H101" s="49">
        <v>5</v>
      </c>
    </row>
    <row r="102" spans="2:8" x14ac:dyDescent="0.25">
      <c r="B102" s="72" t="s">
        <v>151</v>
      </c>
      <c r="C102" s="73"/>
      <c r="D102" s="87" t="s">
        <v>146</v>
      </c>
      <c r="E102" s="67" t="s">
        <v>147</v>
      </c>
      <c r="F102" s="67" t="s">
        <v>148</v>
      </c>
      <c r="G102" s="67" t="s">
        <v>149</v>
      </c>
      <c r="H102" s="82" t="s">
        <v>150</v>
      </c>
    </row>
    <row r="103" spans="2:8" x14ac:dyDescent="0.25">
      <c r="B103" s="88">
        <v>1</v>
      </c>
      <c r="C103" s="41" t="s">
        <v>141</v>
      </c>
      <c r="D103" s="140">
        <v>5.0000000000000001E-3</v>
      </c>
      <c r="E103" s="140">
        <v>0.01</v>
      </c>
      <c r="F103" s="140">
        <v>0.02</v>
      </c>
      <c r="G103" s="140">
        <v>2.5000000000000001E-2</v>
      </c>
      <c r="H103" s="104">
        <v>0.03</v>
      </c>
    </row>
    <row r="104" spans="2:8" x14ac:dyDescent="0.25">
      <c r="B104" s="89">
        <v>2</v>
      </c>
      <c r="C104" s="41" t="s">
        <v>142</v>
      </c>
      <c r="D104" s="140">
        <v>0.1</v>
      </c>
      <c r="E104" s="140">
        <v>1.4999999999999999E-2</v>
      </c>
      <c r="F104" s="140">
        <v>2.5000000000000001E-2</v>
      </c>
      <c r="G104" s="140">
        <v>0.03</v>
      </c>
      <c r="H104" s="104">
        <v>0.04</v>
      </c>
    </row>
    <row r="105" spans="2:8" x14ac:dyDescent="0.25">
      <c r="B105" s="89">
        <v>3</v>
      </c>
      <c r="C105" s="41" t="s">
        <v>143</v>
      </c>
      <c r="D105" s="140">
        <v>1.4999999999999999E-2</v>
      </c>
      <c r="E105" s="140">
        <v>2.5000000000000001E-2</v>
      </c>
      <c r="F105" s="140">
        <v>0.04</v>
      </c>
      <c r="G105" s="140">
        <v>0.06</v>
      </c>
      <c r="H105" s="104">
        <v>7.0000000000000007E-2</v>
      </c>
    </row>
    <row r="106" spans="2:8" x14ac:dyDescent="0.25">
      <c r="B106" s="89">
        <v>4</v>
      </c>
      <c r="C106" s="41" t="s">
        <v>144</v>
      </c>
      <c r="D106" s="140">
        <v>2.5000000000000001E-2</v>
      </c>
      <c r="E106" s="140">
        <v>3.5000000000000003E-2</v>
      </c>
      <c r="F106" s="140">
        <v>0.06</v>
      </c>
      <c r="G106" s="140">
        <v>0.1</v>
      </c>
      <c r="H106" s="104">
        <v>0.12</v>
      </c>
    </row>
    <row r="107" spans="2:8" x14ac:dyDescent="0.25">
      <c r="B107" s="90">
        <v>5</v>
      </c>
      <c r="C107" s="73" t="s">
        <v>145</v>
      </c>
      <c r="D107" s="141">
        <v>0.04</v>
      </c>
      <c r="E107" s="141">
        <v>0.06</v>
      </c>
      <c r="F107" s="141">
        <v>0.1</v>
      </c>
      <c r="G107" s="141">
        <v>0.2</v>
      </c>
      <c r="H107" s="105">
        <v>0.22</v>
      </c>
    </row>
    <row r="109" spans="2:8" x14ac:dyDescent="0.25">
      <c r="B109" s="100" t="s">
        <v>463</v>
      </c>
    </row>
    <row r="110" spans="2:8" x14ac:dyDescent="0.25">
      <c r="B110" s="243" t="s">
        <v>30</v>
      </c>
      <c r="C110" s="245" t="s">
        <v>471</v>
      </c>
    </row>
    <row r="111" spans="2:8" x14ac:dyDescent="0.25">
      <c r="B111" s="57" t="s">
        <v>0</v>
      </c>
      <c r="C111" s="246" t="s">
        <v>0</v>
      </c>
    </row>
    <row r="112" spans="2:8" x14ac:dyDescent="0.25">
      <c r="B112" s="244" t="s">
        <v>353</v>
      </c>
      <c r="C112" s="247" t="s">
        <v>343</v>
      </c>
    </row>
    <row r="113" spans="2:9" x14ac:dyDescent="0.25">
      <c r="B113" s="243" t="s">
        <v>351</v>
      </c>
      <c r="C113" s="181">
        <v>2</v>
      </c>
    </row>
    <row r="114" spans="2:9" x14ac:dyDescent="0.25">
      <c r="B114" s="244" t="s">
        <v>352</v>
      </c>
      <c r="C114" s="179">
        <v>4</v>
      </c>
    </row>
    <row r="115" spans="2:9" x14ac:dyDescent="0.25">
      <c r="C115" s="2"/>
    </row>
    <row r="116" spans="2:9" x14ac:dyDescent="0.25">
      <c r="B116" s="106" t="s">
        <v>640</v>
      </c>
      <c r="C116" s="94"/>
      <c r="D116" s="106"/>
      <c r="E116" s="42"/>
      <c r="G116" s="106"/>
      <c r="H116" s="42"/>
      <c r="I116" s="42"/>
    </row>
    <row r="117" spans="2:9" x14ac:dyDescent="0.25">
      <c r="B117" s="107" t="s">
        <v>33</v>
      </c>
      <c r="C117" s="108" t="s">
        <v>6</v>
      </c>
      <c r="D117" s="96" t="s">
        <v>12</v>
      </c>
      <c r="E117" s="95" t="s">
        <v>158</v>
      </c>
      <c r="H117" s="42"/>
      <c r="I117" s="42"/>
    </row>
    <row r="118" spans="2:9" x14ac:dyDescent="0.25">
      <c r="B118" s="109" t="s">
        <v>0</v>
      </c>
      <c r="C118" s="110" t="s">
        <v>152</v>
      </c>
      <c r="D118" s="99" t="s">
        <v>66</v>
      </c>
      <c r="E118" s="98" t="s">
        <v>153</v>
      </c>
    </row>
    <row r="119" spans="2:9" x14ac:dyDescent="0.25">
      <c r="B119" s="107" t="s">
        <v>491</v>
      </c>
      <c r="C119" s="111" t="s">
        <v>7</v>
      </c>
      <c r="D119" s="112">
        <v>2</v>
      </c>
      <c r="E119" s="113">
        <v>1</v>
      </c>
    </row>
    <row r="120" spans="2:9" x14ac:dyDescent="0.25">
      <c r="B120" s="114" t="s">
        <v>154</v>
      </c>
      <c r="C120" s="115" t="s">
        <v>8</v>
      </c>
      <c r="D120" s="112">
        <v>3</v>
      </c>
      <c r="E120" s="116">
        <v>5</v>
      </c>
    </row>
    <row r="121" spans="2:9" x14ac:dyDescent="0.25">
      <c r="B121" s="114"/>
      <c r="C121" s="115" t="s">
        <v>9</v>
      </c>
      <c r="D121" s="112">
        <v>4.5</v>
      </c>
      <c r="E121" s="116">
        <v>10</v>
      </c>
    </row>
    <row r="122" spans="2:9" x14ac:dyDescent="0.25">
      <c r="B122" s="114"/>
      <c r="C122" s="115" t="s">
        <v>10</v>
      </c>
      <c r="D122" s="112">
        <v>8</v>
      </c>
      <c r="E122" s="116">
        <v>15</v>
      </c>
    </row>
    <row r="123" spans="2:9" x14ac:dyDescent="0.25">
      <c r="B123" s="109"/>
      <c r="C123" s="117" t="s">
        <v>11</v>
      </c>
      <c r="D123" s="112">
        <v>12</v>
      </c>
      <c r="E123" s="118">
        <v>20</v>
      </c>
    </row>
    <row r="124" spans="2:9" x14ac:dyDescent="0.25">
      <c r="B124" s="114" t="s">
        <v>492</v>
      </c>
      <c r="C124" s="111" t="s">
        <v>7</v>
      </c>
      <c r="D124" s="119">
        <v>2</v>
      </c>
      <c r="E124" s="116">
        <v>1</v>
      </c>
      <c r="G124" s="407"/>
    </row>
    <row r="125" spans="2:9" x14ac:dyDescent="0.25">
      <c r="B125" s="114" t="s">
        <v>155</v>
      </c>
      <c r="C125" s="115" t="s">
        <v>8</v>
      </c>
      <c r="D125" s="120">
        <v>3</v>
      </c>
      <c r="E125" s="116">
        <v>5</v>
      </c>
      <c r="G125" s="407"/>
    </row>
    <row r="126" spans="2:9" x14ac:dyDescent="0.25">
      <c r="B126" s="114"/>
      <c r="C126" s="115" t="s">
        <v>9</v>
      </c>
      <c r="D126" s="120">
        <v>4.5</v>
      </c>
      <c r="E126" s="116">
        <v>10</v>
      </c>
    </row>
    <row r="127" spans="2:9" x14ac:dyDescent="0.25">
      <c r="B127" s="114"/>
      <c r="C127" s="115" t="s">
        <v>10</v>
      </c>
      <c r="D127" s="120">
        <v>8</v>
      </c>
      <c r="E127" s="116">
        <v>15</v>
      </c>
    </row>
    <row r="128" spans="2:9" x14ac:dyDescent="0.25">
      <c r="B128" s="114"/>
      <c r="C128" s="117" t="s">
        <v>11</v>
      </c>
      <c r="D128" s="121">
        <v>12</v>
      </c>
      <c r="E128" s="116">
        <v>20</v>
      </c>
    </row>
    <row r="129" spans="2:7" x14ac:dyDescent="0.25">
      <c r="B129" s="107" t="s">
        <v>493</v>
      </c>
      <c r="C129" s="111" t="s">
        <v>7</v>
      </c>
      <c r="D129" s="122">
        <v>3</v>
      </c>
      <c r="E129" s="113">
        <v>1</v>
      </c>
      <c r="G129" s="407"/>
    </row>
    <row r="130" spans="2:7" x14ac:dyDescent="0.25">
      <c r="B130" s="114" t="s">
        <v>156</v>
      </c>
      <c r="C130" s="115" t="s">
        <v>8</v>
      </c>
      <c r="D130" s="123">
        <v>4</v>
      </c>
      <c r="E130" s="116">
        <v>5</v>
      </c>
      <c r="G130" s="407"/>
    </row>
    <row r="131" spans="2:7" x14ac:dyDescent="0.25">
      <c r="B131" s="114"/>
      <c r="C131" s="115" t="s">
        <v>9</v>
      </c>
      <c r="D131" s="123">
        <v>5.5</v>
      </c>
      <c r="E131" s="116">
        <v>10</v>
      </c>
      <c r="G131" s="407"/>
    </row>
    <row r="132" spans="2:7" x14ac:dyDescent="0.25">
      <c r="B132" s="114"/>
      <c r="C132" s="115" t="s">
        <v>10</v>
      </c>
      <c r="D132" s="123">
        <v>9</v>
      </c>
      <c r="E132" s="116">
        <v>15</v>
      </c>
    </row>
    <row r="133" spans="2:7" x14ac:dyDescent="0.25">
      <c r="B133" s="109"/>
      <c r="C133" s="117" t="s">
        <v>11</v>
      </c>
      <c r="D133" s="124">
        <v>13</v>
      </c>
      <c r="E133" s="118">
        <v>20</v>
      </c>
    </row>
    <row r="134" spans="2:7" x14ac:dyDescent="0.25">
      <c r="B134" s="114" t="s">
        <v>494</v>
      </c>
      <c r="C134" s="111" t="s">
        <v>7</v>
      </c>
      <c r="D134" s="112">
        <v>5</v>
      </c>
      <c r="E134" s="116">
        <v>1</v>
      </c>
    </row>
    <row r="135" spans="2:7" x14ac:dyDescent="0.25">
      <c r="B135" s="114"/>
      <c r="C135" s="115" t="s">
        <v>8</v>
      </c>
      <c r="D135" s="112">
        <v>7</v>
      </c>
      <c r="E135" s="116">
        <v>4</v>
      </c>
      <c r="G135" s="407"/>
    </row>
    <row r="136" spans="2:7" x14ac:dyDescent="0.25">
      <c r="B136" s="114"/>
      <c r="C136" s="115" t="s">
        <v>9</v>
      </c>
      <c r="D136" s="112">
        <v>11</v>
      </c>
      <c r="E136" s="116">
        <v>6</v>
      </c>
      <c r="G136" s="407"/>
    </row>
    <row r="137" spans="2:7" x14ac:dyDescent="0.25">
      <c r="B137" s="114"/>
      <c r="C137" s="115" t="s">
        <v>10</v>
      </c>
      <c r="D137" s="112">
        <v>16</v>
      </c>
      <c r="E137" s="116">
        <v>8</v>
      </c>
    </row>
    <row r="138" spans="2:7" x14ac:dyDescent="0.25">
      <c r="B138" s="109"/>
      <c r="C138" s="117" t="s">
        <v>11</v>
      </c>
      <c r="D138" s="125">
        <v>20</v>
      </c>
      <c r="E138" s="118">
        <v>10</v>
      </c>
    </row>
    <row r="139" spans="2:7" x14ac:dyDescent="0.25">
      <c r="B139" s="114" t="s">
        <v>495</v>
      </c>
      <c r="C139" s="111" t="s">
        <v>7</v>
      </c>
      <c r="D139" s="112">
        <v>7</v>
      </c>
      <c r="E139" s="116">
        <v>1</v>
      </c>
      <c r="G139" s="407"/>
    </row>
    <row r="140" spans="2:7" x14ac:dyDescent="0.25">
      <c r="B140" s="114"/>
      <c r="C140" s="115" t="s">
        <v>8</v>
      </c>
      <c r="D140" s="112">
        <v>9</v>
      </c>
      <c r="E140" s="116">
        <v>4</v>
      </c>
      <c r="G140" s="407"/>
    </row>
    <row r="141" spans="2:7" x14ac:dyDescent="0.25">
      <c r="B141" s="114"/>
      <c r="C141" s="115" t="s">
        <v>9</v>
      </c>
      <c r="D141" s="112">
        <v>13</v>
      </c>
      <c r="E141" s="116">
        <v>6</v>
      </c>
      <c r="G141" s="407"/>
    </row>
    <row r="142" spans="2:7" x14ac:dyDescent="0.25">
      <c r="B142" s="114"/>
      <c r="C142" s="115" t="s">
        <v>10</v>
      </c>
      <c r="D142" s="112">
        <v>18</v>
      </c>
      <c r="E142" s="116">
        <v>8</v>
      </c>
    </row>
    <row r="143" spans="2:7" x14ac:dyDescent="0.25">
      <c r="B143" s="109"/>
      <c r="C143" s="117" t="s">
        <v>11</v>
      </c>
      <c r="D143" s="125">
        <v>22</v>
      </c>
      <c r="E143" s="118">
        <v>10</v>
      </c>
    </row>
    <row r="144" spans="2:7" x14ac:dyDescent="0.25">
      <c r="B144" s="114" t="s">
        <v>465</v>
      </c>
      <c r="C144" s="111" t="s">
        <v>7</v>
      </c>
      <c r="D144" s="122">
        <v>3</v>
      </c>
      <c r="E144" s="113">
        <v>1</v>
      </c>
    </row>
    <row r="145" spans="2:20" x14ac:dyDescent="0.25">
      <c r="B145" s="114"/>
      <c r="C145" s="115" t="s">
        <v>8</v>
      </c>
      <c r="D145" s="123">
        <v>4</v>
      </c>
      <c r="E145" s="116">
        <v>5</v>
      </c>
    </row>
    <row r="146" spans="2:20" x14ac:dyDescent="0.25">
      <c r="B146" s="114"/>
      <c r="C146" s="115" t="s">
        <v>9</v>
      </c>
      <c r="D146" s="123">
        <v>5.5</v>
      </c>
      <c r="E146" s="116">
        <v>10</v>
      </c>
    </row>
    <row r="147" spans="2:20" x14ac:dyDescent="0.25">
      <c r="B147" s="114"/>
      <c r="C147" s="115" t="s">
        <v>10</v>
      </c>
      <c r="D147" s="123">
        <v>9</v>
      </c>
      <c r="E147" s="116">
        <v>15</v>
      </c>
    </row>
    <row r="148" spans="2:20" x14ac:dyDescent="0.25">
      <c r="B148" s="109"/>
      <c r="C148" s="117" t="s">
        <v>11</v>
      </c>
      <c r="D148" s="124">
        <v>13</v>
      </c>
      <c r="E148" s="118">
        <v>20</v>
      </c>
    </row>
    <row r="149" spans="2:20" x14ac:dyDescent="0.25">
      <c r="B149" s="114" t="s">
        <v>466</v>
      </c>
      <c r="C149" s="111" t="s">
        <v>7</v>
      </c>
      <c r="D149" s="122">
        <v>3</v>
      </c>
      <c r="E149" s="113">
        <v>1</v>
      </c>
    </row>
    <row r="150" spans="2:20" x14ac:dyDescent="0.25">
      <c r="B150" s="114"/>
      <c r="C150" s="115" t="s">
        <v>8</v>
      </c>
      <c r="D150" s="123">
        <v>4</v>
      </c>
      <c r="E150" s="116">
        <v>5</v>
      </c>
    </row>
    <row r="151" spans="2:20" x14ac:dyDescent="0.25">
      <c r="B151" s="114"/>
      <c r="C151" s="115" t="s">
        <v>9</v>
      </c>
      <c r="D151" s="123">
        <v>5.5</v>
      </c>
      <c r="E151" s="116">
        <v>10</v>
      </c>
    </row>
    <row r="152" spans="2:20" x14ac:dyDescent="0.25">
      <c r="B152" s="114"/>
      <c r="C152" s="115" t="s">
        <v>10</v>
      </c>
      <c r="D152" s="123">
        <v>9</v>
      </c>
      <c r="E152" s="116">
        <v>15</v>
      </c>
    </row>
    <row r="153" spans="2:20" x14ac:dyDescent="0.25">
      <c r="B153" s="109"/>
      <c r="C153" s="117" t="s">
        <v>11</v>
      </c>
      <c r="D153" s="124">
        <v>13</v>
      </c>
      <c r="E153" s="118">
        <v>20</v>
      </c>
    </row>
    <row r="155" spans="2:20" x14ac:dyDescent="0.25">
      <c r="B155" s="137" t="s">
        <v>280</v>
      </c>
    </row>
    <row r="156" spans="2:20" x14ac:dyDescent="0.25">
      <c r="B156" s="101"/>
      <c r="C156" s="88" t="s">
        <v>836</v>
      </c>
      <c r="D156" s="17" t="s">
        <v>837</v>
      </c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374" t="s">
        <v>838</v>
      </c>
      <c r="Q156" s="375"/>
      <c r="R156" s="375"/>
      <c r="S156" s="375"/>
      <c r="T156" s="376"/>
    </row>
    <row r="157" spans="2:20" x14ac:dyDescent="0.25">
      <c r="B157" s="102"/>
      <c r="C157" s="89" t="s">
        <v>131</v>
      </c>
      <c r="D157" s="29" t="s">
        <v>162</v>
      </c>
      <c r="E157" s="29" t="s">
        <v>93</v>
      </c>
      <c r="F157" s="131" t="s">
        <v>95</v>
      </c>
      <c r="G157" s="131" t="s">
        <v>163</v>
      </c>
      <c r="H157" s="131" t="s">
        <v>164</v>
      </c>
      <c r="I157" s="131" t="s">
        <v>165</v>
      </c>
      <c r="J157" s="131" t="s">
        <v>95</v>
      </c>
      <c r="K157" s="131" t="s">
        <v>166</v>
      </c>
      <c r="L157" s="131" t="s">
        <v>98</v>
      </c>
      <c r="M157" s="131" t="s">
        <v>93</v>
      </c>
      <c r="N157" s="131" t="s">
        <v>95</v>
      </c>
      <c r="O157" s="131" t="s">
        <v>96</v>
      </c>
      <c r="P157" s="16" t="s">
        <v>675</v>
      </c>
      <c r="Q157" s="17"/>
      <c r="R157" s="17"/>
      <c r="S157" s="17"/>
      <c r="T157" s="18"/>
    </row>
    <row r="158" spans="2:20" x14ac:dyDescent="0.25">
      <c r="B158" s="138" t="s">
        <v>60</v>
      </c>
      <c r="C158" s="89" t="s">
        <v>60</v>
      </c>
      <c r="D158" s="44" t="s">
        <v>167</v>
      </c>
      <c r="E158" s="44" t="s">
        <v>90</v>
      </c>
      <c r="F158" s="44" t="s">
        <v>90</v>
      </c>
      <c r="G158" s="44" t="s">
        <v>92</v>
      </c>
      <c r="H158" s="44" t="s">
        <v>168</v>
      </c>
      <c r="I158" s="44" t="s">
        <v>97</v>
      </c>
      <c r="J158" s="44" t="s">
        <v>97</v>
      </c>
      <c r="K158" s="44" t="s">
        <v>97</v>
      </c>
      <c r="L158" s="44" t="s">
        <v>97</v>
      </c>
      <c r="M158" s="44" t="s">
        <v>94</v>
      </c>
      <c r="N158" s="44" t="s">
        <v>94</v>
      </c>
      <c r="O158" s="44" t="s">
        <v>94</v>
      </c>
      <c r="P158" s="86" t="s">
        <v>676</v>
      </c>
      <c r="Q158" s="45" t="s">
        <v>677</v>
      </c>
      <c r="R158" s="45" t="s">
        <v>678</v>
      </c>
      <c r="S158" s="45" t="s">
        <v>679</v>
      </c>
      <c r="T158" s="49" t="s">
        <v>680</v>
      </c>
    </row>
    <row r="159" spans="2:20" x14ac:dyDescent="0.25">
      <c r="B159" s="139" t="s">
        <v>159</v>
      </c>
      <c r="C159" s="89" t="s">
        <v>101</v>
      </c>
      <c r="D159" s="45" t="s">
        <v>101</v>
      </c>
      <c r="E159" s="45" t="s">
        <v>101</v>
      </c>
      <c r="F159" s="45" t="s">
        <v>101</v>
      </c>
      <c r="G159" s="45" t="s">
        <v>101</v>
      </c>
      <c r="H159" s="45" t="s">
        <v>101</v>
      </c>
      <c r="I159" s="45" t="s">
        <v>101</v>
      </c>
      <c r="J159" s="45" t="s">
        <v>101</v>
      </c>
      <c r="K159" s="45" t="s">
        <v>101</v>
      </c>
      <c r="L159" s="45" t="s">
        <v>101</v>
      </c>
      <c r="M159" s="45" t="s">
        <v>101</v>
      </c>
      <c r="N159" s="45" t="s">
        <v>101</v>
      </c>
      <c r="O159" s="45" t="s">
        <v>101</v>
      </c>
      <c r="P159" s="87">
        <v>1</v>
      </c>
      <c r="Q159" s="67">
        <v>2</v>
      </c>
      <c r="R159" s="67">
        <v>3</v>
      </c>
      <c r="S159" s="67">
        <v>4</v>
      </c>
      <c r="T159" s="82">
        <v>5</v>
      </c>
    </row>
    <row r="160" spans="2:20" x14ac:dyDescent="0.25">
      <c r="B160" s="86" t="s">
        <v>114</v>
      </c>
      <c r="C160" s="134">
        <v>25</v>
      </c>
      <c r="D160" s="394">
        <v>0</v>
      </c>
      <c r="E160" s="394">
        <v>0</v>
      </c>
      <c r="F160" s="394">
        <v>0.29766666666666669</v>
      </c>
      <c r="G160" s="394">
        <v>0.27250000000000002</v>
      </c>
      <c r="H160" s="394">
        <v>0</v>
      </c>
      <c r="I160" s="394">
        <v>6.6833333333333328E-2</v>
      </c>
      <c r="J160" s="394">
        <v>7.8166666666666662E-2</v>
      </c>
      <c r="K160" s="394">
        <v>3.4166666666666665E-2</v>
      </c>
      <c r="L160" s="394">
        <v>4.4499999999999998E-2</v>
      </c>
      <c r="M160" s="394">
        <v>0.15049999999999999</v>
      </c>
      <c r="N160" s="394">
        <v>2.7833333333333335E-2</v>
      </c>
      <c r="O160" s="395">
        <v>2.7833333333333335E-2</v>
      </c>
      <c r="P160" s="159">
        <v>1.5</v>
      </c>
      <c r="Q160" s="160">
        <v>1.5</v>
      </c>
      <c r="R160" s="160">
        <v>1.5</v>
      </c>
      <c r="S160" s="160">
        <v>1.5</v>
      </c>
      <c r="T160" s="377">
        <v>1.5</v>
      </c>
    </row>
    <row r="161" spans="2:20" x14ac:dyDescent="0.25">
      <c r="B161" s="86" t="s">
        <v>265</v>
      </c>
      <c r="C161" s="135">
        <v>75</v>
      </c>
      <c r="D161" s="396">
        <v>0</v>
      </c>
      <c r="E161" s="396">
        <v>0</v>
      </c>
      <c r="F161" s="396">
        <v>0.29766666666666669</v>
      </c>
      <c r="G161" s="396">
        <v>0.27250000000000002</v>
      </c>
      <c r="H161" s="396">
        <v>0</v>
      </c>
      <c r="I161" s="396">
        <v>6.6833333333333328E-2</v>
      </c>
      <c r="J161" s="396">
        <v>7.8166666666666662E-2</v>
      </c>
      <c r="K161" s="396">
        <v>3.4166666666666665E-2</v>
      </c>
      <c r="L161" s="396">
        <v>4.4499999999999998E-2</v>
      </c>
      <c r="M161" s="396">
        <v>0.15049999999999999</v>
      </c>
      <c r="N161" s="396">
        <v>2.7833333333333335E-2</v>
      </c>
      <c r="O161" s="397">
        <v>2.7833333333333335E-2</v>
      </c>
      <c r="P161" s="159">
        <v>1.5</v>
      </c>
      <c r="Q161" s="160">
        <v>1.5</v>
      </c>
      <c r="R161" s="160">
        <v>1.5</v>
      </c>
      <c r="S161" s="160">
        <v>1.5</v>
      </c>
      <c r="T161" s="377">
        <v>1.5</v>
      </c>
    </row>
    <row r="162" spans="2:20" x14ac:dyDescent="0.25">
      <c r="B162" s="86" t="s">
        <v>266</v>
      </c>
      <c r="C162" s="135">
        <v>175</v>
      </c>
      <c r="D162" s="396">
        <v>0</v>
      </c>
      <c r="E162" s="396">
        <v>0</v>
      </c>
      <c r="F162" s="396">
        <v>0.29766666666666669</v>
      </c>
      <c r="G162" s="396">
        <v>0.27250000000000002</v>
      </c>
      <c r="H162" s="396">
        <v>0</v>
      </c>
      <c r="I162" s="396">
        <v>6.6833333333333328E-2</v>
      </c>
      <c r="J162" s="396">
        <v>7.8166666666666662E-2</v>
      </c>
      <c r="K162" s="396">
        <v>3.4166666666666665E-2</v>
      </c>
      <c r="L162" s="396">
        <v>4.4499999999999998E-2</v>
      </c>
      <c r="M162" s="396">
        <v>0.15049999999999999</v>
      </c>
      <c r="N162" s="396">
        <v>2.7833333333333335E-2</v>
      </c>
      <c r="O162" s="397">
        <v>2.7833333333333335E-2</v>
      </c>
      <c r="P162" s="159">
        <v>1.5</v>
      </c>
      <c r="Q162" s="160">
        <v>1.5</v>
      </c>
      <c r="R162" s="160">
        <v>1.5</v>
      </c>
      <c r="S162" s="160">
        <v>1.5</v>
      </c>
      <c r="T162" s="377">
        <v>1.5</v>
      </c>
    </row>
    <row r="163" spans="2:20" x14ac:dyDescent="0.25">
      <c r="B163" s="86" t="s">
        <v>267</v>
      </c>
      <c r="C163" s="135">
        <f>+(250+500)/2</f>
        <v>375</v>
      </c>
      <c r="D163" s="396">
        <v>0</v>
      </c>
      <c r="E163" s="396">
        <v>0</v>
      </c>
      <c r="F163" s="396">
        <v>0.29766666666666669</v>
      </c>
      <c r="G163" s="396">
        <v>0.27250000000000002</v>
      </c>
      <c r="H163" s="396">
        <v>0</v>
      </c>
      <c r="I163" s="396">
        <v>6.6833333333333328E-2</v>
      </c>
      <c r="J163" s="396">
        <v>7.8166666666666662E-2</v>
      </c>
      <c r="K163" s="396">
        <v>3.4166666666666665E-2</v>
      </c>
      <c r="L163" s="396">
        <v>4.4499999999999998E-2</v>
      </c>
      <c r="M163" s="396">
        <v>0.15049999999999999</v>
      </c>
      <c r="N163" s="396">
        <v>2.7833333333333335E-2</v>
      </c>
      <c r="O163" s="397">
        <v>2.7833333333333335E-2</v>
      </c>
      <c r="P163" s="159">
        <v>2</v>
      </c>
      <c r="Q163" s="160">
        <v>2</v>
      </c>
      <c r="R163" s="160">
        <v>2</v>
      </c>
      <c r="S163" s="160">
        <v>2</v>
      </c>
      <c r="T163" s="377">
        <v>2</v>
      </c>
    </row>
    <row r="164" spans="2:20" x14ac:dyDescent="0.25">
      <c r="B164" s="86" t="s">
        <v>268</v>
      </c>
      <c r="C164" s="135">
        <v>750</v>
      </c>
      <c r="D164" s="396">
        <v>0</v>
      </c>
      <c r="E164" s="396">
        <v>0</v>
      </c>
      <c r="F164" s="396">
        <v>0.29766666666666669</v>
      </c>
      <c r="G164" s="396">
        <v>0.27250000000000002</v>
      </c>
      <c r="H164" s="396">
        <v>0</v>
      </c>
      <c r="I164" s="396">
        <v>6.6833333333333328E-2</v>
      </c>
      <c r="J164" s="396">
        <v>7.8166666666666662E-2</v>
      </c>
      <c r="K164" s="396">
        <v>3.4166666666666665E-2</v>
      </c>
      <c r="L164" s="396">
        <v>4.4499999999999998E-2</v>
      </c>
      <c r="M164" s="396">
        <v>0.15049999999999999</v>
      </c>
      <c r="N164" s="396">
        <v>2.7833333333333335E-2</v>
      </c>
      <c r="O164" s="397">
        <v>2.7833333333333335E-2</v>
      </c>
      <c r="P164" s="159">
        <v>3</v>
      </c>
      <c r="Q164" s="160">
        <v>3</v>
      </c>
      <c r="R164" s="160">
        <v>3</v>
      </c>
      <c r="S164" s="160">
        <v>3</v>
      </c>
      <c r="T164" s="377">
        <v>3</v>
      </c>
    </row>
    <row r="165" spans="2:20" x14ac:dyDescent="0.25">
      <c r="B165" s="86" t="s">
        <v>269</v>
      </c>
      <c r="C165" s="135">
        <v>2000</v>
      </c>
      <c r="D165" s="396">
        <v>0</v>
      </c>
      <c r="E165" s="396">
        <v>0</v>
      </c>
      <c r="F165" s="396">
        <v>0.29766666666666669</v>
      </c>
      <c r="G165" s="396">
        <v>0.27250000000000002</v>
      </c>
      <c r="H165" s="396">
        <v>0</v>
      </c>
      <c r="I165" s="396">
        <v>6.6833333333333328E-2</v>
      </c>
      <c r="J165" s="396">
        <v>7.8166666666666662E-2</v>
      </c>
      <c r="K165" s="396">
        <v>3.4166666666666665E-2</v>
      </c>
      <c r="L165" s="396">
        <v>4.4499999999999998E-2</v>
      </c>
      <c r="M165" s="396">
        <v>0.15049999999999999</v>
      </c>
      <c r="N165" s="396">
        <v>2.7833333333333335E-2</v>
      </c>
      <c r="O165" s="397">
        <v>2.7833333333333335E-2</v>
      </c>
      <c r="P165" s="159">
        <v>4</v>
      </c>
      <c r="Q165" s="160">
        <v>4</v>
      </c>
      <c r="R165" s="160">
        <v>4</v>
      </c>
      <c r="S165" s="160">
        <v>4</v>
      </c>
      <c r="T165" s="377">
        <v>4</v>
      </c>
    </row>
    <row r="166" spans="2:20" x14ac:dyDescent="0.25">
      <c r="B166" s="86" t="s">
        <v>270</v>
      </c>
      <c r="C166" s="135">
        <v>4000</v>
      </c>
      <c r="D166" s="396">
        <v>0</v>
      </c>
      <c r="E166" s="396">
        <v>0</v>
      </c>
      <c r="F166" s="396">
        <v>0.29766666666666669</v>
      </c>
      <c r="G166" s="396">
        <v>0.27250000000000002</v>
      </c>
      <c r="H166" s="396">
        <v>0</v>
      </c>
      <c r="I166" s="396">
        <v>6.6833333333333328E-2</v>
      </c>
      <c r="J166" s="396">
        <v>7.8166666666666662E-2</v>
      </c>
      <c r="K166" s="396">
        <v>3.4166666666666665E-2</v>
      </c>
      <c r="L166" s="396">
        <v>4.4499999999999998E-2</v>
      </c>
      <c r="M166" s="396">
        <v>0.15049999999999999</v>
      </c>
      <c r="N166" s="396">
        <v>2.7833333333333335E-2</v>
      </c>
      <c r="O166" s="397">
        <v>2.7833333333333335E-2</v>
      </c>
      <c r="P166" s="159">
        <v>5</v>
      </c>
      <c r="Q166" s="160">
        <v>5</v>
      </c>
      <c r="R166" s="160">
        <v>5</v>
      </c>
      <c r="S166" s="160">
        <v>5</v>
      </c>
      <c r="T166" s="377">
        <v>5</v>
      </c>
    </row>
    <row r="167" spans="2:20" x14ac:dyDescent="0.25">
      <c r="B167" s="86" t="s">
        <v>271</v>
      </c>
      <c r="C167" s="135">
        <v>6000</v>
      </c>
      <c r="D167" s="396">
        <v>0</v>
      </c>
      <c r="E167" s="396">
        <v>0</v>
      </c>
      <c r="F167" s="396">
        <v>0.29766666666666669</v>
      </c>
      <c r="G167" s="396">
        <v>0.27250000000000002</v>
      </c>
      <c r="H167" s="396">
        <v>0</v>
      </c>
      <c r="I167" s="396">
        <v>6.6833333333333328E-2</v>
      </c>
      <c r="J167" s="396">
        <v>7.8166666666666662E-2</v>
      </c>
      <c r="K167" s="396">
        <v>3.4166666666666665E-2</v>
      </c>
      <c r="L167" s="396">
        <v>4.4499999999999998E-2</v>
      </c>
      <c r="M167" s="396">
        <v>0.15049999999999999</v>
      </c>
      <c r="N167" s="396">
        <v>2.7833333333333335E-2</v>
      </c>
      <c r="O167" s="397">
        <v>2.7833333333333335E-2</v>
      </c>
      <c r="P167" s="159">
        <v>6</v>
      </c>
      <c r="Q167" s="160">
        <v>6</v>
      </c>
      <c r="R167" s="160">
        <v>6</v>
      </c>
      <c r="S167" s="160">
        <v>6</v>
      </c>
      <c r="T167" s="377">
        <v>6</v>
      </c>
    </row>
    <row r="168" spans="2:20" x14ac:dyDescent="0.25">
      <c r="B168" s="86" t="s">
        <v>272</v>
      </c>
      <c r="C168" s="135">
        <v>8000</v>
      </c>
      <c r="D168" s="396">
        <v>0</v>
      </c>
      <c r="E168" s="396">
        <v>0</v>
      </c>
      <c r="F168" s="396">
        <v>0.29766666666666669</v>
      </c>
      <c r="G168" s="396">
        <v>0.27250000000000002</v>
      </c>
      <c r="H168" s="396">
        <v>0</v>
      </c>
      <c r="I168" s="396">
        <v>6.6833333333333328E-2</v>
      </c>
      <c r="J168" s="396">
        <v>7.8166666666666662E-2</v>
      </c>
      <c r="K168" s="396">
        <v>3.4166666666666665E-2</v>
      </c>
      <c r="L168" s="396">
        <v>4.4499999999999998E-2</v>
      </c>
      <c r="M168" s="396">
        <v>0.15049999999999999</v>
      </c>
      <c r="N168" s="396">
        <v>2.7833333333333335E-2</v>
      </c>
      <c r="O168" s="397">
        <v>2.7833333333333335E-2</v>
      </c>
      <c r="P168" s="159">
        <v>7</v>
      </c>
      <c r="Q168" s="160">
        <v>7</v>
      </c>
      <c r="R168" s="160">
        <v>7</v>
      </c>
      <c r="S168" s="160">
        <v>7</v>
      </c>
      <c r="T168" s="377">
        <v>7</v>
      </c>
    </row>
    <row r="169" spans="2:20" x14ac:dyDescent="0.25">
      <c r="B169" s="86" t="s">
        <v>273</v>
      </c>
      <c r="C169" s="135">
        <f>+(9000+12000)/2</f>
        <v>10500</v>
      </c>
      <c r="D169" s="396">
        <v>0</v>
      </c>
      <c r="E169" s="396">
        <v>0</v>
      </c>
      <c r="F169" s="396">
        <v>0.29766666666666669</v>
      </c>
      <c r="G169" s="396">
        <v>0.27250000000000002</v>
      </c>
      <c r="H169" s="396">
        <v>0</v>
      </c>
      <c r="I169" s="396">
        <v>6.6833333333333328E-2</v>
      </c>
      <c r="J169" s="396">
        <v>7.8166666666666662E-2</v>
      </c>
      <c r="K169" s="396">
        <v>3.4166666666666665E-2</v>
      </c>
      <c r="L169" s="396">
        <v>4.4499999999999998E-2</v>
      </c>
      <c r="M169" s="396">
        <v>0.15049999999999999</v>
      </c>
      <c r="N169" s="396">
        <v>2.7833333333333335E-2</v>
      </c>
      <c r="O169" s="397">
        <v>2.7833333333333335E-2</v>
      </c>
      <c r="P169" s="159">
        <v>8</v>
      </c>
      <c r="Q169" s="160">
        <v>8</v>
      </c>
      <c r="R169" s="160">
        <v>8</v>
      </c>
      <c r="S169" s="160">
        <v>8</v>
      </c>
      <c r="T169" s="377">
        <v>8</v>
      </c>
    </row>
    <row r="170" spans="2:20" x14ac:dyDescent="0.25">
      <c r="B170" s="86" t="s">
        <v>274</v>
      </c>
      <c r="C170" s="135">
        <f>+(12000+15000)/2</f>
        <v>13500</v>
      </c>
      <c r="D170" s="396">
        <v>0</v>
      </c>
      <c r="E170" s="396">
        <v>0</v>
      </c>
      <c r="F170" s="396">
        <v>0.29766666666666669</v>
      </c>
      <c r="G170" s="396">
        <v>0.27250000000000002</v>
      </c>
      <c r="H170" s="396">
        <v>0</v>
      </c>
      <c r="I170" s="396">
        <v>6.6833333333333328E-2</v>
      </c>
      <c r="J170" s="396">
        <v>7.8166666666666662E-2</v>
      </c>
      <c r="K170" s="396">
        <v>3.4166666666666665E-2</v>
      </c>
      <c r="L170" s="396">
        <v>4.4499999999999998E-2</v>
      </c>
      <c r="M170" s="396">
        <v>0.15049999999999999</v>
      </c>
      <c r="N170" s="396">
        <v>2.7833333333333335E-2</v>
      </c>
      <c r="O170" s="397">
        <v>2.7833333333333335E-2</v>
      </c>
      <c r="P170" s="159">
        <v>8</v>
      </c>
      <c r="Q170" s="160">
        <v>8</v>
      </c>
      <c r="R170" s="160">
        <v>8</v>
      </c>
      <c r="S170" s="160">
        <v>8</v>
      </c>
      <c r="T170" s="377">
        <v>8</v>
      </c>
    </row>
    <row r="171" spans="2:20" x14ac:dyDescent="0.25">
      <c r="B171" s="86" t="s">
        <v>275</v>
      </c>
      <c r="C171" s="135">
        <f>+(15000+20000)/2</f>
        <v>17500</v>
      </c>
      <c r="D171" s="396">
        <v>0</v>
      </c>
      <c r="E171" s="396">
        <v>0</v>
      </c>
      <c r="F171" s="396">
        <v>0.29766666666666669</v>
      </c>
      <c r="G171" s="396">
        <v>0.27250000000000002</v>
      </c>
      <c r="H171" s="396">
        <v>0</v>
      </c>
      <c r="I171" s="396">
        <v>6.6833333333333328E-2</v>
      </c>
      <c r="J171" s="396">
        <v>7.8166666666666662E-2</v>
      </c>
      <c r="K171" s="396">
        <v>3.4166666666666665E-2</v>
      </c>
      <c r="L171" s="396">
        <v>4.4499999999999998E-2</v>
      </c>
      <c r="M171" s="396">
        <v>0.15049999999999999</v>
      </c>
      <c r="N171" s="396">
        <v>2.7833333333333335E-2</v>
      </c>
      <c r="O171" s="397">
        <v>2.7833333333333335E-2</v>
      </c>
      <c r="P171" s="159">
        <v>8</v>
      </c>
      <c r="Q171" s="160">
        <v>8</v>
      </c>
      <c r="R171" s="160">
        <v>8</v>
      </c>
      <c r="S171" s="160">
        <v>8</v>
      </c>
      <c r="T171" s="377">
        <v>8</v>
      </c>
    </row>
    <row r="172" spans="2:20" x14ac:dyDescent="0.25">
      <c r="B172" s="86" t="s">
        <v>276</v>
      </c>
      <c r="C172" s="135">
        <v>25000</v>
      </c>
      <c r="D172" s="396">
        <v>0</v>
      </c>
      <c r="E172" s="396">
        <v>0</v>
      </c>
      <c r="F172" s="396">
        <v>0.29766666666666669</v>
      </c>
      <c r="G172" s="396">
        <v>0.27250000000000002</v>
      </c>
      <c r="H172" s="396">
        <v>0</v>
      </c>
      <c r="I172" s="396">
        <v>6.6833333333333328E-2</v>
      </c>
      <c r="J172" s="396">
        <v>7.8166666666666662E-2</v>
      </c>
      <c r="K172" s="396">
        <v>3.4166666666666665E-2</v>
      </c>
      <c r="L172" s="396">
        <v>4.4499999999999998E-2</v>
      </c>
      <c r="M172" s="396">
        <v>0.15049999999999999</v>
      </c>
      <c r="N172" s="396">
        <v>2.7833333333333335E-2</v>
      </c>
      <c r="O172" s="397">
        <v>2.7833333333333335E-2</v>
      </c>
      <c r="P172" s="159">
        <v>8</v>
      </c>
      <c r="Q172" s="160">
        <v>8</v>
      </c>
      <c r="R172" s="160">
        <v>8</v>
      </c>
      <c r="S172" s="160">
        <v>8</v>
      </c>
      <c r="T172" s="377">
        <v>8</v>
      </c>
    </row>
    <row r="173" spans="2:20" x14ac:dyDescent="0.25">
      <c r="B173" s="86" t="s">
        <v>277</v>
      </c>
      <c r="C173" s="135">
        <v>35000</v>
      </c>
      <c r="D173" s="396">
        <v>0</v>
      </c>
      <c r="E173" s="396">
        <v>0</v>
      </c>
      <c r="F173" s="396">
        <v>0.29766666666666669</v>
      </c>
      <c r="G173" s="396">
        <v>0.27250000000000002</v>
      </c>
      <c r="H173" s="396">
        <v>0</v>
      </c>
      <c r="I173" s="396">
        <v>6.6833333333333328E-2</v>
      </c>
      <c r="J173" s="396">
        <v>7.8166666666666662E-2</v>
      </c>
      <c r="K173" s="396">
        <v>3.4166666666666665E-2</v>
      </c>
      <c r="L173" s="396">
        <v>4.4499999999999998E-2</v>
      </c>
      <c r="M173" s="396">
        <v>0.15049999999999999</v>
      </c>
      <c r="N173" s="396">
        <v>2.7833333333333335E-2</v>
      </c>
      <c r="O173" s="397">
        <v>2.7833333333333335E-2</v>
      </c>
      <c r="P173" s="159">
        <v>8</v>
      </c>
      <c r="Q173" s="160">
        <v>8</v>
      </c>
      <c r="R173" s="160">
        <v>8</v>
      </c>
      <c r="S173" s="160">
        <v>8</v>
      </c>
      <c r="T173" s="377">
        <v>8</v>
      </c>
    </row>
    <row r="174" spans="2:20" x14ac:dyDescent="0.25">
      <c r="B174" s="87" t="s">
        <v>278</v>
      </c>
      <c r="C174" s="136">
        <v>500000</v>
      </c>
      <c r="D174" s="398">
        <v>0</v>
      </c>
      <c r="E174" s="398">
        <v>0</v>
      </c>
      <c r="F174" s="398">
        <v>0.29766666666666669</v>
      </c>
      <c r="G174" s="398">
        <v>0.27250000000000002</v>
      </c>
      <c r="H174" s="398">
        <v>0</v>
      </c>
      <c r="I174" s="398">
        <v>6.6833333333333328E-2</v>
      </c>
      <c r="J174" s="398">
        <v>7.8166666666666662E-2</v>
      </c>
      <c r="K174" s="398">
        <v>3.4166666666666665E-2</v>
      </c>
      <c r="L174" s="398">
        <v>4.4499999999999998E-2</v>
      </c>
      <c r="M174" s="398">
        <v>0.15049999999999999</v>
      </c>
      <c r="N174" s="398">
        <v>2.7833333333333335E-2</v>
      </c>
      <c r="O174" s="399">
        <v>2.7833333333333335E-2</v>
      </c>
      <c r="P174" s="161">
        <v>8</v>
      </c>
      <c r="Q174" s="162">
        <v>8</v>
      </c>
      <c r="R174" s="162">
        <v>8</v>
      </c>
      <c r="S174" s="162">
        <v>8</v>
      </c>
      <c r="T174" s="378">
        <v>8</v>
      </c>
    </row>
    <row r="177" spans="2:17" x14ac:dyDescent="0.25">
      <c r="B177" s="252" t="s">
        <v>481</v>
      </c>
    </row>
    <row r="179" spans="2:17" x14ac:dyDescent="0.25">
      <c r="B179" s="100" t="s">
        <v>313</v>
      </c>
    </row>
    <row r="180" spans="2:17" x14ac:dyDescent="0.25">
      <c r="B180" s="85" t="s">
        <v>36</v>
      </c>
      <c r="C180" s="29" t="s">
        <v>136</v>
      </c>
      <c r="D180" s="32"/>
      <c r="E180" s="85"/>
      <c r="F180" s="29"/>
      <c r="G180" s="29"/>
      <c r="H180" s="29"/>
      <c r="I180" s="29" t="s">
        <v>182</v>
      </c>
      <c r="J180" s="29"/>
      <c r="K180" s="29"/>
      <c r="L180" s="29"/>
      <c r="M180" s="29"/>
      <c r="N180" s="29"/>
      <c r="O180" s="29"/>
      <c r="P180" s="29"/>
      <c r="Q180" s="32" t="s">
        <v>183</v>
      </c>
    </row>
    <row r="181" spans="2:17" x14ac:dyDescent="0.25">
      <c r="B181" s="86" t="s">
        <v>312</v>
      </c>
      <c r="C181" s="45" t="s">
        <v>34</v>
      </c>
      <c r="D181" s="49"/>
      <c r="E181" s="86" t="s">
        <v>162</v>
      </c>
      <c r="F181" s="45" t="s">
        <v>93</v>
      </c>
      <c r="G181" s="45" t="s">
        <v>95</v>
      </c>
      <c r="H181" s="45" t="s">
        <v>163</v>
      </c>
      <c r="I181" s="45" t="s">
        <v>184</v>
      </c>
      <c r="J181" s="45" t="s">
        <v>165</v>
      </c>
      <c r="K181" s="45" t="s">
        <v>95</v>
      </c>
      <c r="L181" s="45" t="s">
        <v>166</v>
      </c>
      <c r="M181" s="45" t="s">
        <v>98</v>
      </c>
      <c r="N181" s="45" t="s">
        <v>93</v>
      </c>
      <c r="O181" s="45" t="s">
        <v>95</v>
      </c>
      <c r="P181" s="45" t="s">
        <v>96</v>
      </c>
      <c r="Q181" s="49" t="s">
        <v>92</v>
      </c>
    </row>
    <row r="182" spans="2:17" x14ac:dyDescent="0.25">
      <c r="B182" s="87" t="s">
        <v>343</v>
      </c>
      <c r="C182" s="67" t="s">
        <v>63</v>
      </c>
      <c r="D182" s="82" t="s">
        <v>185</v>
      </c>
      <c r="E182" s="87" t="s">
        <v>167</v>
      </c>
      <c r="F182" s="67" t="s">
        <v>90</v>
      </c>
      <c r="G182" s="67" t="s">
        <v>90</v>
      </c>
      <c r="H182" s="67" t="s">
        <v>92</v>
      </c>
      <c r="I182" s="67" t="s">
        <v>168</v>
      </c>
      <c r="J182" s="67" t="s">
        <v>97</v>
      </c>
      <c r="K182" s="67" t="s">
        <v>97</v>
      </c>
      <c r="L182" s="67" t="s">
        <v>97</v>
      </c>
      <c r="M182" s="67" t="s">
        <v>97</v>
      </c>
      <c r="N182" s="67" t="s">
        <v>94</v>
      </c>
      <c r="O182" s="67" t="s">
        <v>94</v>
      </c>
      <c r="P182" s="67" t="s">
        <v>94</v>
      </c>
      <c r="Q182" s="82" t="s">
        <v>186</v>
      </c>
    </row>
    <row r="183" spans="2:17" x14ac:dyDescent="0.25">
      <c r="B183" s="54">
        <v>1</v>
      </c>
      <c r="C183" s="55">
        <v>1</v>
      </c>
      <c r="D183" s="56" t="s">
        <v>188</v>
      </c>
      <c r="E183" s="400">
        <v>6.4171482374270741E-2</v>
      </c>
      <c r="F183" s="401">
        <v>0.22860540002584462</v>
      </c>
      <c r="G183" s="401">
        <v>0.31251827379067737</v>
      </c>
      <c r="H183" s="401">
        <v>0.28546726405620593</v>
      </c>
      <c r="I183" s="401">
        <v>0.24898274838924409</v>
      </c>
      <c r="J183" s="401">
        <v>0.33481734097003935</v>
      </c>
      <c r="K183" s="401">
        <v>0.40054883758227028</v>
      </c>
      <c r="L183" s="401">
        <v>0.71765223344167084</v>
      </c>
      <c r="M183" s="401">
        <v>1.0431105375289924</v>
      </c>
      <c r="N183" s="401">
        <v>0.3560310651858648</v>
      </c>
      <c r="O183" s="401">
        <v>0.44538357456525168</v>
      </c>
      <c r="P183" s="401">
        <v>0.70770187775293991</v>
      </c>
      <c r="Q183" s="402">
        <v>0.32878898361076908</v>
      </c>
    </row>
    <row r="184" spans="2:17" x14ac:dyDescent="0.25">
      <c r="B184" s="54">
        <v>1</v>
      </c>
      <c r="C184" s="55">
        <v>1</v>
      </c>
      <c r="D184" s="56" t="s">
        <v>189</v>
      </c>
      <c r="E184" s="400">
        <v>1.4069164642180226E-4</v>
      </c>
      <c r="F184" s="401">
        <v>-1.4184763974914691E-3</v>
      </c>
      <c r="G184" s="401">
        <v>-1.391835750978691E-3</v>
      </c>
      <c r="H184" s="401">
        <v>-2.004323424460316E-3</v>
      </c>
      <c r="I184" s="401">
        <v>-3.892411105189932E-5</v>
      </c>
      <c r="J184" s="401">
        <v>1.8301688094145898E-4</v>
      </c>
      <c r="K184" s="401">
        <v>6.0586163596117642E-3</v>
      </c>
      <c r="L184" s="401">
        <v>1.0821762919518594E-2</v>
      </c>
      <c r="M184" s="401">
        <v>4.2947246848643229E-4</v>
      </c>
      <c r="N184" s="401">
        <v>2.35140328559656E-3</v>
      </c>
      <c r="O184" s="401">
        <v>6.0751472180817796E-3</v>
      </c>
      <c r="P184" s="401">
        <v>2.7142008469839929E-3</v>
      </c>
      <c r="Q184" s="402">
        <v>2.3480562559778038E-4</v>
      </c>
    </row>
    <row r="185" spans="2:17" x14ac:dyDescent="0.25">
      <c r="B185" s="54">
        <v>1</v>
      </c>
      <c r="C185" s="55">
        <v>1</v>
      </c>
      <c r="D185" s="56" t="s">
        <v>190</v>
      </c>
      <c r="E185" s="400">
        <v>-9.8664080724120547E-5</v>
      </c>
      <c r="F185" s="401">
        <v>4.0283827393343988E-4</v>
      </c>
      <c r="G185" s="401">
        <v>7.0797772274845542E-4</v>
      </c>
      <c r="H185" s="401">
        <v>1.1624170419497412E-3</v>
      </c>
      <c r="I185" s="401">
        <v>8.6824331944916904E-4</v>
      </c>
      <c r="J185" s="401">
        <v>8.4906615455806458E-4</v>
      </c>
      <c r="K185" s="401">
        <v>3.9924243964376444E-4</v>
      </c>
      <c r="L185" s="401">
        <v>1.1154362858036449E-3</v>
      </c>
      <c r="M185" s="401">
        <v>2.5710370435025704E-3</v>
      </c>
      <c r="N185" s="401">
        <v>9.4702344014372373E-4</v>
      </c>
      <c r="O185" s="401">
        <v>9.7092857588699079E-4</v>
      </c>
      <c r="P185" s="401">
        <v>2.6566211941775773E-3</v>
      </c>
      <c r="Q185" s="402">
        <v>8.2740566778454947E-4</v>
      </c>
    </row>
    <row r="186" spans="2:17" x14ac:dyDescent="0.25">
      <c r="B186" s="54">
        <v>1</v>
      </c>
      <c r="C186" s="55">
        <v>1</v>
      </c>
      <c r="D186" s="56" t="s">
        <v>191</v>
      </c>
      <c r="E186" s="400">
        <v>5.3072181257485274E-6</v>
      </c>
      <c r="F186" s="401">
        <v>-4.007880848766587E-6</v>
      </c>
      <c r="G186" s="401">
        <v>-1.1475434021701577E-5</v>
      </c>
      <c r="H186" s="401">
        <v>-2.4749101418205942E-5</v>
      </c>
      <c r="I186" s="401">
        <v>-1.8087091255808592E-5</v>
      </c>
      <c r="J186" s="401">
        <v>-1.2644280758400547E-5</v>
      </c>
      <c r="K186" s="401">
        <v>6.7774449542407904E-7</v>
      </c>
      <c r="L186" s="401">
        <v>-5.6454444357657709E-6</v>
      </c>
      <c r="M186" s="401">
        <v>-2.7670072740423241E-5</v>
      </c>
      <c r="N186" s="401">
        <v>-2.0045738612253179E-5</v>
      </c>
      <c r="O186" s="401">
        <v>-1.8099969847774729E-5</v>
      </c>
      <c r="P186" s="401">
        <v>-5.0388848251303622E-5</v>
      </c>
      <c r="Q186" s="402">
        <v>-1.3708603576877905E-5</v>
      </c>
    </row>
    <row r="187" spans="2:17" x14ac:dyDescent="0.25">
      <c r="B187" s="54">
        <v>1</v>
      </c>
      <c r="C187" s="55">
        <v>2</v>
      </c>
      <c r="D187" s="56" t="s">
        <v>188</v>
      </c>
      <c r="E187" s="400">
        <v>5.1611756533384311E-2</v>
      </c>
      <c r="F187" s="401">
        <v>0.215572648247083</v>
      </c>
      <c r="G187" s="401">
        <v>0.30397512018680573</v>
      </c>
      <c r="H187" s="401">
        <v>0.27134718795617413</v>
      </c>
      <c r="I187" s="401">
        <v>0.22947241763273885</v>
      </c>
      <c r="J187" s="401">
        <v>0.3130657692750296</v>
      </c>
      <c r="K187" s="401">
        <v>0.39751843214035038</v>
      </c>
      <c r="L187" s="401">
        <v>0.72515924572944657</v>
      </c>
      <c r="M187" s="401">
        <v>1.0169923464457198</v>
      </c>
      <c r="N187" s="401">
        <v>0.33694474995136259</v>
      </c>
      <c r="O187" s="401">
        <v>0.42507384419441219</v>
      </c>
      <c r="P187" s="401">
        <v>0.75911509990692161</v>
      </c>
      <c r="Q187" s="402">
        <v>0.31739317803829897</v>
      </c>
    </row>
    <row r="188" spans="2:17" x14ac:dyDescent="0.25">
      <c r="B188" s="54">
        <v>1</v>
      </c>
      <c r="C188" s="55">
        <v>2</v>
      </c>
      <c r="D188" s="56" t="s">
        <v>189</v>
      </c>
      <c r="E188" s="400">
        <v>1.2157082256644691E-3</v>
      </c>
      <c r="F188" s="401">
        <v>4.2392456760773257E-4</v>
      </c>
      <c r="G188" s="401">
        <v>5.3683803840110951E-5</v>
      </c>
      <c r="H188" s="401">
        <v>7.3360154157754828E-4</v>
      </c>
      <c r="I188" s="401">
        <v>2.821035361859606E-3</v>
      </c>
      <c r="J188" s="401">
        <v>3.4696414962514851E-3</v>
      </c>
      <c r="K188" s="401">
        <v>6.7447986172999817E-3</v>
      </c>
      <c r="L188" s="401">
        <v>1.0556572042376646E-2</v>
      </c>
      <c r="M188" s="401">
        <v>6.2137703008214237E-3</v>
      </c>
      <c r="N188" s="401">
        <v>4.8409337850856193E-3</v>
      </c>
      <c r="O188" s="401">
        <v>9.2046582823866723E-3</v>
      </c>
      <c r="P188" s="401">
        <v>-1.9175658623377984E-3</v>
      </c>
      <c r="Q188" s="402">
        <v>2.1618193997867681E-3</v>
      </c>
    </row>
    <row r="189" spans="2:17" x14ac:dyDescent="0.25">
      <c r="B189" s="54">
        <v>1</v>
      </c>
      <c r="C189" s="55">
        <v>2</v>
      </c>
      <c r="D189" s="56" t="s">
        <v>190</v>
      </c>
      <c r="E189" s="400">
        <v>-7.7933651592695613E-5</v>
      </c>
      <c r="F189" s="401">
        <v>3.4542113872535851E-4</v>
      </c>
      <c r="G189" s="401">
        <v>6.4834963643189709E-4</v>
      </c>
      <c r="H189" s="401">
        <v>1.025711405492604E-3</v>
      </c>
      <c r="I189" s="401">
        <v>7.7085237785097266E-4</v>
      </c>
      <c r="J189" s="401">
        <v>7.4325188438653645E-4</v>
      </c>
      <c r="K189" s="401">
        <v>3.9461972343893953E-4</v>
      </c>
      <c r="L189" s="401">
        <v>1.1493416550831925E-3</v>
      </c>
      <c r="M189" s="401">
        <v>2.3562433523731654E-3</v>
      </c>
      <c r="N189" s="401">
        <v>9.0675314319578492E-4</v>
      </c>
      <c r="O189" s="401">
        <v>1.0070379623722087E-3</v>
      </c>
      <c r="P189" s="401">
        <v>3.1675724594882096E-3</v>
      </c>
      <c r="Q189" s="402">
        <v>7.7230691079415153E-4</v>
      </c>
    </row>
    <row r="190" spans="2:17" x14ac:dyDescent="0.25">
      <c r="B190" s="54">
        <v>1</v>
      </c>
      <c r="C190" s="55">
        <v>2</v>
      </c>
      <c r="D190" s="56" t="s">
        <v>191</v>
      </c>
      <c r="E190" s="400">
        <v>3.0817722694741444E-6</v>
      </c>
      <c r="F190" s="401">
        <v>-4.1357538986317186E-6</v>
      </c>
      <c r="G190" s="401">
        <v>-1.1027169724305498E-5</v>
      </c>
      <c r="H190" s="401">
        <v>-2.2886364366902533E-5</v>
      </c>
      <c r="I190" s="401">
        <v>-1.7916781519537554E-5</v>
      </c>
      <c r="J190" s="401">
        <v>-1.2778870257742268E-5</v>
      </c>
      <c r="K190" s="401">
        <v>-6.6800504668162582E-8</v>
      </c>
      <c r="L190" s="401">
        <v>-6.5413333342440619E-6</v>
      </c>
      <c r="M190" s="401">
        <v>-2.6594667978405373E-5</v>
      </c>
      <c r="N190" s="401">
        <v>-2.1730326029248477E-5</v>
      </c>
      <c r="O190" s="401">
        <v>-2.3928312432793753E-5</v>
      </c>
      <c r="P190" s="401">
        <v>-6.6598651535583462E-5</v>
      </c>
      <c r="Q190" s="402">
        <v>-1.4094795364880808E-5</v>
      </c>
    </row>
    <row r="191" spans="2:17" x14ac:dyDescent="0.25">
      <c r="B191" s="54">
        <v>1</v>
      </c>
      <c r="C191" s="55">
        <v>3</v>
      </c>
      <c r="D191" s="56" t="s">
        <v>188</v>
      </c>
      <c r="E191" s="400">
        <v>4.5148293053110439E-2</v>
      </c>
      <c r="F191" s="401">
        <v>0.21864382475614552</v>
      </c>
      <c r="G191" s="401">
        <v>0.31126233140627541</v>
      </c>
      <c r="H191" s="401">
        <v>0.28665208915869389</v>
      </c>
      <c r="I191" s="401">
        <v>0.2327051808436712</v>
      </c>
      <c r="J191" s="401">
        <v>0.32096753120422361</v>
      </c>
      <c r="K191" s="401">
        <v>0.41333572467168178</v>
      </c>
      <c r="L191" s="401">
        <v>0.75470596750577279</v>
      </c>
      <c r="M191" s="401">
        <v>1.062380564212799</v>
      </c>
      <c r="N191" s="401">
        <v>0.34761515259742742</v>
      </c>
      <c r="O191" s="401">
        <v>0.49682933290799464</v>
      </c>
      <c r="P191" s="401">
        <v>0.89793683687845882</v>
      </c>
      <c r="Q191" s="402">
        <v>0.33221368070319279</v>
      </c>
    </row>
    <row r="192" spans="2:17" x14ac:dyDescent="0.25">
      <c r="B192" s="54">
        <v>1</v>
      </c>
      <c r="C192" s="55">
        <v>3</v>
      </c>
      <c r="D192" s="56" t="s">
        <v>189</v>
      </c>
      <c r="E192" s="400">
        <v>6.1073448116766012E-4</v>
      </c>
      <c r="F192" s="401">
        <v>1.1030976597593061E-3</v>
      </c>
      <c r="G192" s="401">
        <v>1.3696536734387498E-3</v>
      </c>
      <c r="H192" s="401">
        <v>2.3564213413597595E-3</v>
      </c>
      <c r="I192" s="401">
        <v>4.0320274684210499E-3</v>
      </c>
      <c r="J192" s="401">
        <v>4.9735894535249308E-3</v>
      </c>
      <c r="K192" s="401">
        <v>6.0807760940935623E-3</v>
      </c>
      <c r="L192" s="401">
        <v>1.4426363080670537E-2</v>
      </c>
      <c r="M192" s="401">
        <v>1.3318539927796826E-2</v>
      </c>
      <c r="N192" s="401">
        <v>4.2785844174390818E-3</v>
      </c>
      <c r="O192" s="401">
        <v>8.9615046943261872E-3</v>
      </c>
      <c r="P192" s="401">
        <v>7.7042920281929833E-3</v>
      </c>
      <c r="Q192" s="402">
        <v>3.3788209441049468E-3</v>
      </c>
    </row>
    <row r="193" spans="2:17" x14ac:dyDescent="0.25">
      <c r="B193" s="54">
        <v>1</v>
      </c>
      <c r="C193" s="55">
        <v>3</v>
      </c>
      <c r="D193" s="56" t="s">
        <v>190</v>
      </c>
      <c r="E193" s="400">
        <v>7.1430853448617088E-5</v>
      </c>
      <c r="F193" s="401">
        <v>2.8324923923104547E-4</v>
      </c>
      <c r="G193" s="401">
        <v>4.8515232310289658E-4</v>
      </c>
      <c r="H193" s="401">
        <v>8.0482666500103755E-4</v>
      </c>
      <c r="I193" s="401">
        <v>6.8095425417373295E-4</v>
      </c>
      <c r="J193" s="401">
        <v>6.2847130504243502E-4</v>
      </c>
      <c r="K193" s="401">
        <v>5.8282828414356791E-4</v>
      </c>
      <c r="L193" s="401">
        <v>7.2196153771904726E-4</v>
      </c>
      <c r="M193" s="401">
        <v>1.6353136419138396E-3</v>
      </c>
      <c r="N193" s="401">
        <v>1.0360767826055888E-3</v>
      </c>
      <c r="O193" s="401">
        <v>1.0316473603387563E-3</v>
      </c>
      <c r="P193" s="401">
        <v>1.709300720747255E-3</v>
      </c>
      <c r="Q193" s="402">
        <v>6.4145648774923108E-4</v>
      </c>
    </row>
    <row r="194" spans="2:17" x14ac:dyDescent="0.25">
      <c r="B194" s="54">
        <v>1</v>
      </c>
      <c r="C194" s="55">
        <v>3</v>
      </c>
      <c r="D194" s="56" t="s">
        <v>191</v>
      </c>
      <c r="E194" s="400">
        <v>-2.1158215186754766E-6</v>
      </c>
      <c r="F194" s="401">
        <v>-2.9457765598814056E-6</v>
      </c>
      <c r="G194" s="401">
        <v>-6.8021391134162366E-6</v>
      </c>
      <c r="H194" s="401">
        <v>-1.7207550071614051E-5</v>
      </c>
      <c r="I194" s="401">
        <v>-1.6472212646066836E-5</v>
      </c>
      <c r="J194" s="401">
        <v>-1.1064707017167171E-5</v>
      </c>
      <c r="K194" s="401">
        <v>-8.0728053861379536E-6</v>
      </c>
      <c r="L194" s="401">
        <v>4.4080995387965413E-6</v>
      </c>
      <c r="M194" s="401">
        <v>-9.3760028215183736E-6</v>
      </c>
      <c r="N194" s="401">
        <v>-2.7051053669161877E-5</v>
      </c>
      <c r="O194" s="401">
        <v>-2.6540340104581118E-5</v>
      </c>
      <c r="P194" s="401">
        <v>-2.2350418979841843E-5</v>
      </c>
      <c r="Q194" s="402">
        <v>-1.1278900006502329E-5</v>
      </c>
    </row>
    <row r="195" spans="2:17" x14ac:dyDescent="0.25">
      <c r="B195" s="54">
        <v>2</v>
      </c>
      <c r="C195" s="55">
        <v>1</v>
      </c>
      <c r="D195" s="56" t="s">
        <v>188</v>
      </c>
      <c r="E195" s="400">
        <v>6.4517233644922567E-2</v>
      </c>
      <c r="F195" s="401">
        <v>0.22894004533688225</v>
      </c>
      <c r="G195" s="401">
        <v>0.31698645850022639</v>
      </c>
      <c r="H195" s="401">
        <v>0.28588850100835161</v>
      </c>
      <c r="I195" s="401">
        <v>0.24948149025440219</v>
      </c>
      <c r="J195" s="401">
        <v>0.33897566596666961</v>
      </c>
      <c r="K195" s="401">
        <v>0.43210568825403856</v>
      </c>
      <c r="L195" s="401">
        <v>0.75583139459292081</v>
      </c>
      <c r="M195" s="401">
        <v>1.1617673834164939</v>
      </c>
      <c r="N195" s="401">
        <v>0.36411781211694083</v>
      </c>
      <c r="O195" s="401">
        <v>0.4462648053963979</v>
      </c>
      <c r="P195" s="401">
        <v>0.71540110508600896</v>
      </c>
      <c r="Q195" s="402">
        <v>0.33653871120885009</v>
      </c>
    </row>
    <row r="196" spans="2:17" x14ac:dyDescent="0.25">
      <c r="B196" s="54">
        <v>2</v>
      </c>
      <c r="C196" s="55">
        <v>1</v>
      </c>
      <c r="D196" s="56" t="s">
        <v>189</v>
      </c>
      <c r="E196" s="400">
        <v>9.6500352988921243E-5</v>
      </c>
      <c r="F196" s="401">
        <v>-1.465241353099159E-3</v>
      </c>
      <c r="G196" s="401">
        <v>-2.1220179305071122E-3</v>
      </c>
      <c r="H196" s="401">
        <v>-2.0665146045751436E-3</v>
      </c>
      <c r="I196" s="401">
        <v>-1.0842490990494177E-4</v>
      </c>
      <c r="J196" s="401">
        <v>-4.663462081248017E-4</v>
      </c>
      <c r="K196" s="401">
        <v>2.1345103803585138E-3</v>
      </c>
      <c r="L196" s="401">
        <v>7.3041298716866711E-3</v>
      </c>
      <c r="M196" s="401">
        <v>-2.2357053516350183E-2</v>
      </c>
      <c r="N196" s="401">
        <v>1.163014515412336E-3</v>
      </c>
      <c r="O196" s="401">
        <v>5.9508787990542496E-3</v>
      </c>
      <c r="P196" s="401">
        <v>7.8269046179152641E-4</v>
      </c>
      <c r="Q196" s="402">
        <v>-9.4072357368261365E-4</v>
      </c>
    </row>
    <row r="197" spans="2:17" x14ac:dyDescent="0.25">
      <c r="B197" s="54">
        <v>2</v>
      </c>
      <c r="C197" s="55">
        <v>1</v>
      </c>
      <c r="D197" s="56" t="s">
        <v>190</v>
      </c>
      <c r="E197" s="400">
        <v>-9.7498491445517521E-5</v>
      </c>
      <c r="F197" s="401">
        <v>4.0447486603593453E-4</v>
      </c>
      <c r="G197" s="401">
        <v>7.4315231319490899E-4</v>
      </c>
      <c r="H197" s="401">
        <v>1.164902926429168E-3</v>
      </c>
      <c r="I197" s="401">
        <v>8.7065975201296695E-4</v>
      </c>
      <c r="J197" s="401">
        <v>8.7791247106654233E-4</v>
      </c>
      <c r="K197" s="401">
        <v>4.9344959532047334E-4</v>
      </c>
      <c r="L197" s="401">
        <v>1.0681427181600681E-3</v>
      </c>
      <c r="M197" s="401">
        <v>3.9550568430851696E-3</v>
      </c>
      <c r="N197" s="401">
        <v>9.9480151695944033E-4</v>
      </c>
      <c r="O197" s="401">
        <v>9.753994626320897E-4</v>
      </c>
      <c r="P197" s="401">
        <v>2.7874797704197634E-3</v>
      </c>
      <c r="Q197" s="402">
        <v>8.7709566946781727E-4</v>
      </c>
    </row>
    <row r="198" spans="2:17" x14ac:dyDescent="0.25">
      <c r="B198" s="54">
        <v>2</v>
      </c>
      <c r="C198" s="55">
        <v>1</v>
      </c>
      <c r="D198" s="56" t="s">
        <v>191</v>
      </c>
      <c r="E198" s="400">
        <v>5.3180418561249737E-6</v>
      </c>
      <c r="F198" s="401">
        <v>-4.0130635467303595E-6</v>
      </c>
      <c r="G198" s="401">
        <v>-1.195297600367131E-5</v>
      </c>
      <c r="H198" s="401">
        <v>-2.4768793065370103E-5</v>
      </c>
      <c r="I198" s="401">
        <v>-1.8094172057201467E-5</v>
      </c>
      <c r="J198" s="401">
        <v>-1.2970378256251634E-5</v>
      </c>
      <c r="K198" s="401">
        <v>1.9791849368565541E-6</v>
      </c>
      <c r="L198" s="401">
        <v>1.0151314753938068E-6</v>
      </c>
      <c r="M198" s="401">
        <v>-5.4566940783342972E-5</v>
      </c>
      <c r="N198" s="401">
        <v>-2.044848605654646E-5</v>
      </c>
      <c r="O198" s="401">
        <v>-1.811901456224156E-5</v>
      </c>
      <c r="P198" s="401">
        <v>-5.3028918356977108E-5</v>
      </c>
      <c r="Q198" s="402">
        <v>-1.4194639178214354E-5</v>
      </c>
    </row>
    <row r="199" spans="2:17" x14ac:dyDescent="0.25">
      <c r="B199" s="54">
        <v>2</v>
      </c>
      <c r="C199" s="55">
        <v>2</v>
      </c>
      <c r="D199" s="56" t="s">
        <v>188</v>
      </c>
      <c r="E199" s="400">
        <v>5.1658984522024783E-2</v>
      </c>
      <c r="F199" s="401">
        <v>0.21559313187996548</v>
      </c>
      <c r="G199" s="401">
        <v>0.30398443043231971</v>
      </c>
      <c r="H199" s="401">
        <v>0.2713583588600158</v>
      </c>
      <c r="I199" s="401">
        <v>0.22952014009157803</v>
      </c>
      <c r="J199" s="401">
        <v>0.31311519245306635</v>
      </c>
      <c r="K199" s="401">
        <v>0.39762711524963373</v>
      </c>
      <c r="L199" s="401">
        <v>0.75189324617385855</v>
      </c>
      <c r="M199" s="401">
        <v>1.017232096195221</v>
      </c>
      <c r="N199" s="401">
        <v>0.33701581954956078</v>
      </c>
      <c r="O199" s="401">
        <v>0.42512529492378254</v>
      </c>
      <c r="P199" s="401">
        <v>0.7464894711971285</v>
      </c>
      <c r="Q199" s="402">
        <v>0.31797659802436845</v>
      </c>
    </row>
    <row r="200" spans="2:17" x14ac:dyDescent="0.25">
      <c r="B200" s="54">
        <v>2</v>
      </c>
      <c r="C200" s="55">
        <v>2</v>
      </c>
      <c r="D200" s="56" t="s">
        <v>189</v>
      </c>
      <c r="E200" s="400">
        <v>1.2089161885426153E-3</v>
      </c>
      <c r="F200" s="401">
        <v>4.2088059585457737E-4</v>
      </c>
      <c r="G200" s="401">
        <v>5.2195615493322119E-5</v>
      </c>
      <c r="H200" s="401">
        <v>7.3169495421229356E-4</v>
      </c>
      <c r="I200" s="401">
        <v>2.813848220361907E-3</v>
      </c>
      <c r="J200" s="401">
        <v>3.4614772374489487E-3</v>
      </c>
      <c r="K200" s="401">
        <v>6.7282755104441476E-3</v>
      </c>
      <c r="L200" s="401">
        <v>8.4873335645841794E-3</v>
      </c>
      <c r="M200" s="401">
        <v>6.1768158031417436E-3</v>
      </c>
      <c r="N200" s="401">
        <v>4.8299284004942253E-3</v>
      </c>
      <c r="O200" s="401">
        <v>9.196098300497349E-3</v>
      </c>
      <c r="P200" s="401">
        <v>-2.366965704633022E-3</v>
      </c>
      <c r="Q200" s="402">
        <v>2.0854838100053622E-3</v>
      </c>
    </row>
    <row r="201" spans="2:17" x14ac:dyDescent="0.25">
      <c r="B201" s="54">
        <v>2</v>
      </c>
      <c r="C201" s="55">
        <v>2</v>
      </c>
      <c r="D201" s="56" t="s">
        <v>190</v>
      </c>
      <c r="E201" s="400">
        <v>-7.7678811669106747E-5</v>
      </c>
      <c r="F201" s="401">
        <v>3.4554394956304741E-4</v>
      </c>
      <c r="G201" s="401">
        <v>6.4841864548085301E-4</v>
      </c>
      <c r="H201" s="401">
        <v>1.025809991088778E-3</v>
      </c>
      <c r="I201" s="401">
        <v>7.7115161244546715E-4</v>
      </c>
      <c r="J201" s="401">
        <v>7.4365497555904745E-4</v>
      </c>
      <c r="K201" s="401">
        <v>3.9532082915167067E-4</v>
      </c>
      <c r="L201" s="401">
        <v>1.0653800897664949E-3</v>
      </c>
      <c r="M201" s="401">
        <v>2.3578503679284424E-3</v>
      </c>
      <c r="N201" s="401">
        <v>9.0723793024505956E-4</v>
      </c>
      <c r="O201" s="401">
        <v>1.0074652852989884E-3</v>
      </c>
      <c r="P201" s="401">
        <v>3.3680652040284855E-3</v>
      </c>
      <c r="Q201" s="402">
        <v>7.7403125055200059E-4</v>
      </c>
    </row>
    <row r="202" spans="2:17" x14ac:dyDescent="0.25">
      <c r="B202" s="54">
        <v>2</v>
      </c>
      <c r="C202" s="55">
        <v>2</v>
      </c>
      <c r="D202" s="56" t="s">
        <v>191</v>
      </c>
      <c r="E202" s="400">
        <v>3.0803205604609337E-6</v>
      </c>
      <c r="F202" s="401">
        <v>-4.1367575850427452E-6</v>
      </c>
      <c r="G202" s="401">
        <v>-1.1028029406682085E-5</v>
      </c>
      <c r="H202" s="401">
        <v>-2.2887891967489205E-5</v>
      </c>
      <c r="I202" s="401">
        <v>-1.7919552330833643E-5</v>
      </c>
      <c r="J202" s="401">
        <v>-1.2784641997334304E-5</v>
      </c>
      <c r="K202" s="401">
        <v>-7.3711974683775529E-8</v>
      </c>
      <c r="L202" s="401">
        <v>-2.9958338818997794E-7</v>
      </c>
      <c r="M202" s="401">
        <v>-2.6611722687370803E-5</v>
      </c>
      <c r="N202" s="401">
        <v>-2.1735670822205931E-5</v>
      </c>
      <c r="O202" s="401">
        <v>-2.3934570457366696E-5</v>
      </c>
      <c r="P202" s="401">
        <v>-7.4037493270964503E-5</v>
      </c>
      <c r="Q202" s="402">
        <v>-1.4058924094674881E-5</v>
      </c>
    </row>
    <row r="203" spans="2:17" x14ac:dyDescent="0.25">
      <c r="B203" s="54">
        <v>2</v>
      </c>
      <c r="C203" s="55">
        <v>3</v>
      </c>
      <c r="D203" s="56" t="s">
        <v>188</v>
      </c>
      <c r="E203" s="400">
        <v>4.5148289948701861E-2</v>
      </c>
      <c r="F203" s="401">
        <v>0.21864378054936723</v>
      </c>
      <c r="G203" s="401">
        <v>0.31126231352488198</v>
      </c>
      <c r="H203" s="401">
        <v>0.2866520831982296</v>
      </c>
      <c r="I203" s="401">
        <v>0.23270514408747348</v>
      </c>
      <c r="J203" s="401">
        <v>0.32096747457981112</v>
      </c>
      <c r="K203" s="401">
        <v>0.41333560645580297</v>
      </c>
      <c r="L203" s="401">
        <v>0.75470577279726658</v>
      </c>
      <c r="M203" s="401">
        <v>1.0623801231384282</v>
      </c>
      <c r="N203" s="401">
        <v>0.34761506815751397</v>
      </c>
      <c r="O203" s="401">
        <v>0.49682904283205676</v>
      </c>
      <c r="P203" s="401">
        <v>0.89793639580408724</v>
      </c>
      <c r="Q203" s="402">
        <v>0.33221361465007071</v>
      </c>
    </row>
    <row r="204" spans="2:17" x14ac:dyDescent="0.25">
      <c r="B204" s="54">
        <v>2</v>
      </c>
      <c r="C204" s="55">
        <v>3</v>
      </c>
      <c r="D204" s="56" t="s">
        <v>189</v>
      </c>
      <c r="E204" s="400">
        <v>6.1073392070974718E-4</v>
      </c>
      <c r="F204" s="401">
        <v>1.1031080584425986E-3</v>
      </c>
      <c r="G204" s="401">
        <v>1.3696528340182603E-3</v>
      </c>
      <c r="H204" s="401">
        <v>2.3564217697536536E-3</v>
      </c>
      <c r="I204" s="401">
        <v>4.0320261108755017E-3</v>
      </c>
      <c r="J204" s="401">
        <v>4.973572783791568E-3</v>
      </c>
      <c r="K204" s="401">
        <v>6.0807598353867891E-3</v>
      </c>
      <c r="L204" s="401">
        <v>1.4426311372367603E-2</v>
      </c>
      <c r="M204" s="401">
        <v>1.3318463060035153E-2</v>
      </c>
      <c r="N204" s="401">
        <v>4.2785893468636343E-3</v>
      </c>
      <c r="O204" s="401">
        <v>8.9615416635629528E-3</v>
      </c>
      <c r="P204" s="401">
        <v>7.704337356900101E-3</v>
      </c>
      <c r="Q204" s="402">
        <v>3.3788201659150289E-3</v>
      </c>
    </row>
    <row r="205" spans="2:17" x14ac:dyDescent="0.25">
      <c r="B205" s="54">
        <v>2</v>
      </c>
      <c r="C205" s="55">
        <v>3</v>
      </c>
      <c r="D205" s="56" t="s">
        <v>190</v>
      </c>
      <c r="E205" s="400">
        <v>7.1430909349680692E-5</v>
      </c>
      <c r="F205" s="401">
        <v>2.8324807779147123E-4</v>
      </c>
      <c r="G205" s="401">
        <v>4.8515225797544242E-4</v>
      </c>
      <c r="H205" s="401">
        <v>8.0482613963958627E-4</v>
      </c>
      <c r="I205" s="401">
        <v>6.8095405444954264E-4</v>
      </c>
      <c r="J205" s="401">
        <v>6.2847333701896194E-4</v>
      </c>
      <c r="K205" s="401">
        <v>5.8283039861486822E-4</v>
      </c>
      <c r="L205" s="401">
        <v>7.2196655687474032E-4</v>
      </c>
      <c r="M205" s="401">
        <v>1.6353204499035769E-3</v>
      </c>
      <c r="N205" s="401">
        <v>1.0360757101735315E-3</v>
      </c>
      <c r="O205" s="401">
        <v>1.0316437045177391E-3</v>
      </c>
      <c r="P205" s="401">
        <v>1.7092948679601663E-3</v>
      </c>
      <c r="Q205" s="402">
        <v>6.4145635110641433E-4</v>
      </c>
    </row>
    <row r="206" spans="2:17" x14ac:dyDescent="0.25">
      <c r="B206" s="54">
        <v>2</v>
      </c>
      <c r="C206" s="55">
        <v>3</v>
      </c>
      <c r="D206" s="56" t="s">
        <v>191</v>
      </c>
      <c r="E206" s="400">
        <v>-2.1158227850426135E-6</v>
      </c>
      <c r="F206" s="401">
        <v>-2.9457396543248419E-6</v>
      </c>
      <c r="G206" s="401">
        <v>-6.8021311533941925E-6</v>
      </c>
      <c r="H206" s="401">
        <v>-1.7207524744271333E-5</v>
      </c>
      <c r="I206" s="401">
        <v>-1.6472198896937871E-5</v>
      </c>
      <c r="J206" s="401">
        <v>-1.1064772868258322E-5</v>
      </c>
      <c r="K206" s="401">
        <v>-8.072876302697635E-6</v>
      </c>
      <c r="L206" s="401">
        <v>4.4079577056771522E-6</v>
      </c>
      <c r="M206" s="401">
        <v>-9.3761851783863456E-6</v>
      </c>
      <c r="N206" s="401">
        <v>-2.7051016039966907E-5</v>
      </c>
      <c r="O206" s="401">
        <v>-2.6540234453379915E-5</v>
      </c>
      <c r="P206" s="401">
        <v>-2.2350227939313733E-5</v>
      </c>
      <c r="Q206" s="402">
        <v>-1.1278891183541745E-5</v>
      </c>
    </row>
    <row r="207" spans="2:17" x14ac:dyDescent="0.25">
      <c r="B207" s="54">
        <v>3</v>
      </c>
      <c r="C207" s="55">
        <v>1</v>
      </c>
      <c r="D207" s="56" t="s">
        <v>188</v>
      </c>
      <c r="E207" s="400">
        <v>6.5073737129569056E-2</v>
      </c>
      <c r="F207" s="401">
        <v>0.22959752480189002</v>
      </c>
      <c r="G207" s="401">
        <v>0.31769236226876585</v>
      </c>
      <c r="H207" s="401">
        <v>0.28678474128246301</v>
      </c>
      <c r="I207" s="401">
        <v>0.25048888027667998</v>
      </c>
      <c r="J207" s="401">
        <v>0.34004665116469079</v>
      </c>
      <c r="K207" s="401">
        <v>0.4485868016878764</v>
      </c>
      <c r="L207" s="401">
        <v>0.82433754404385895</v>
      </c>
      <c r="M207" s="401">
        <v>1.2306088725725812</v>
      </c>
      <c r="N207" s="401">
        <v>0.36524160206317907</v>
      </c>
      <c r="O207" s="401">
        <v>0.44734448393185938</v>
      </c>
      <c r="P207" s="401">
        <v>0.73949752648671474</v>
      </c>
      <c r="Q207" s="402">
        <v>0.34216070089861761</v>
      </c>
    </row>
    <row r="208" spans="2:17" x14ac:dyDescent="0.25">
      <c r="B208" s="54">
        <v>3</v>
      </c>
      <c r="C208" s="55">
        <v>1</v>
      </c>
      <c r="D208" s="56" t="s">
        <v>189</v>
      </c>
      <c r="E208" s="400">
        <v>1.1728861765023111E-4</v>
      </c>
      <c r="F208" s="401">
        <v>-1.4326469343164249E-3</v>
      </c>
      <c r="G208" s="401">
        <v>-2.0882721495378317E-3</v>
      </c>
      <c r="H208" s="401">
        <v>-2.0316446166725676E-3</v>
      </c>
      <c r="I208" s="401">
        <v>-8.9998269437731662E-5</v>
      </c>
      <c r="J208" s="401">
        <v>-4.1137891875838817E-4</v>
      </c>
      <c r="K208" s="401">
        <v>-5.2047324625205458E-5</v>
      </c>
      <c r="L208" s="401">
        <v>-2.1334595532499011E-3</v>
      </c>
      <c r="M208" s="401">
        <v>-3.6896867571918249E-2</v>
      </c>
      <c r="N208" s="401">
        <v>1.1838558213184544E-3</v>
      </c>
      <c r="O208" s="401">
        <v>6.0175980767632926E-3</v>
      </c>
      <c r="P208" s="401">
        <v>-2.8612918995477568E-3</v>
      </c>
      <c r="Q208" s="402">
        <v>-1.6893758561220746E-3</v>
      </c>
    </row>
    <row r="209" spans="2:17" x14ac:dyDescent="0.25">
      <c r="B209" s="54">
        <v>3</v>
      </c>
      <c r="C209" s="55">
        <v>1</v>
      </c>
      <c r="D209" s="56" t="s">
        <v>190</v>
      </c>
      <c r="E209" s="400">
        <v>-1.0524624372487337E-4</v>
      </c>
      <c r="F209" s="401">
        <v>3.8971359426880693E-4</v>
      </c>
      <c r="G209" s="401">
        <v>7.2579482670152699E-4</v>
      </c>
      <c r="H209" s="401">
        <v>1.1439742672415593E-3</v>
      </c>
      <c r="I209" s="401">
        <v>8.5329284374808471E-4</v>
      </c>
      <c r="J209" s="401">
        <v>8.5283880554018259E-4</v>
      </c>
      <c r="K209" s="401">
        <v>5.5923489614939062E-4</v>
      </c>
      <c r="L209" s="401">
        <v>1.3798522504615354E-3</v>
      </c>
      <c r="M209" s="401">
        <v>4.9342936499691282E-3</v>
      </c>
      <c r="N209" s="401">
        <v>9.7697577710613047E-4</v>
      </c>
      <c r="O209" s="401">
        <v>9.517129988242443E-4</v>
      </c>
      <c r="P209" s="401">
        <v>2.9198316410010278E-3</v>
      </c>
      <c r="Q209" s="402">
        <v>8.9700361876585968E-4</v>
      </c>
    </row>
    <row r="210" spans="2:17" x14ac:dyDescent="0.25">
      <c r="B210" s="54">
        <v>3</v>
      </c>
      <c r="C210" s="55">
        <v>1</v>
      </c>
      <c r="D210" s="56" t="s">
        <v>191</v>
      </c>
      <c r="E210" s="400">
        <v>5.5687142559200661E-6</v>
      </c>
      <c r="F210" s="401">
        <v>-3.5544023751378708E-6</v>
      </c>
      <c r="G210" s="401">
        <v>-1.141395732447819E-5</v>
      </c>
      <c r="H210" s="401">
        <v>-2.4113787458261583E-5</v>
      </c>
      <c r="I210" s="401">
        <v>-1.7534052083310773E-5</v>
      </c>
      <c r="J210" s="401">
        <v>-1.2226116198759868E-5</v>
      </c>
      <c r="K210" s="401">
        <v>1.9000044270551034E-6</v>
      </c>
      <c r="L210" s="401">
        <v>2.9051330493410719E-7</v>
      </c>
      <c r="M210" s="401">
        <v>-7.6503895958357455E-5</v>
      </c>
      <c r="N210" s="401">
        <v>-1.9905214554687405E-5</v>
      </c>
      <c r="O210" s="401">
        <v>-1.7453061753960741E-5</v>
      </c>
      <c r="P210" s="401">
        <v>-5.4003253995955552E-5</v>
      </c>
      <c r="Q210" s="402">
        <v>-1.4196946849198504E-5</v>
      </c>
    </row>
    <row r="211" spans="2:17" x14ac:dyDescent="0.25">
      <c r="B211" s="54">
        <v>3</v>
      </c>
      <c r="C211" s="55">
        <v>2</v>
      </c>
      <c r="D211" s="56" t="s">
        <v>188</v>
      </c>
      <c r="E211" s="400">
        <v>5.1867525900403645E-2</v>
      </c>
      <c r="F211" s="401">
        <v>0.2155890136957169</v>
      </c>
      <c r="G211" s="401">
        <v>0.30389415820439653</v>
      </c>
      <c r="H211" s="401">
        <v>0.27128229737281817</v>
      </c>
      <c r="I211" s="401">
        <v>0.22964802185694369</v>
      </c>
      <c r="J211" s="401">
        <v>0.31309126714865376</v>
      </c>
      <c r="K211" s="401">
        <v>0.39793063004811602</v>
      </c>
      <c r="L211" s="401">
        <v>0.75312147537867236</v>
      </c>
      <c r="M211" s="401">
        <v>1.0196641246477764</v>
      </c>
      <c r="N211" s="401">
        <v>0.33716308772563947</v>
      </c>
      <c r="O211" s="401">
        <v>0.42502978642781564</v>
      </c>
      <c r="P211" s="401">
        <v>0.74560906887054446</v>
      </c>
      <c r="Q211" s="402">
        <v>0.31804787623509773</v>
      </c>
    </row>
    <row r="212" spans="2:17" x14ac:dyDescent="0.25">
      <c r="B212" s="54">
        <v>3</v>
      </c>
      <c r="C212" s="55">
        <v>2</v>
      </c>
      <c r="D212" s="56" t="s">
        <v>189</v>
      </c>
      <c r="E212" s="400">
        <v>1.259882539646774E-3</v>
      </c>
      <c r="F212" s="401">
        <v>5.2326623272228902E-4</v>
      </c>
      <c r="G212" s="401">
        <v>1.7452333773766213E-4</v>
      </c>
      <c r="H212" s="401">
        <v>8.8803576075387712E-4</v>
      </c>
      <c r="I212" s="401">
        <v>2.9415607730269937E-3</v>
      </c>
      <c r="J212" s="401">
        <v>3.6310617838752513E-3</v>
      </c>
      <c r="K212" s="401">
        <v>6.9674934436391471E-3</v>
      </c>
      <c r="L212" s="401">
        <v>8.9171651892635886E-3</v>
      </c>
      <c r="M212" s="401">
        <v>5.7056800816164908E-3</v>
      </c>
      <c r="N212" s="401">
        <v>4.953535972705766E-3</v>
      </c>
      <c r="O212" s="401">
        <v>9.34261257855022E-3</v>
      </c>
      <c r="P212" s="401">
        <v>-2.0951694101905994E-3</v>
      </c>
      <c r="Q212" s="402">
        <v>2.2191153330042256E-3</v>
      </c>
    </row>
    <row r="213" spans="2:17" x14ac:dyDescent="0.25">
      <c r="B213" s="54">
        <v>3</v>
      </c>
      <c r="C213" s="55">
        <v>2</v>
      </c>
      <c r="D213" s="56" t="s">
        <v>190</v>
      </c>
      <c r="E213" s="400">
        <v>-8.5074909352686866E-5</v>
      </c>
      <c r="F213" s="401">
        <v>3.3014447651890321E-4</v>
      </c>
      <c r="G213" s="401">
        <v>6.2977722769989549E-4</v>
      </c>
      <c r="H213" s="401">
        <v>1.0016484963240911E-3</v>
      </c>
      <c r="I213" s="401">
        <v>7.5088039318442457E-4</v>
      </c>
      <c r="J213" s="401">
        <v>7.1726513197233033E-4</v>
      </c>
      <c r="K213" s="401">
        <v>3.5822339842230395E-4</v>
      </c>
      <c r="L213" s="401">
        <v>9.8455231853854307E-4</v>
      </c>
      <c r="M213" s="401">
        <v>2.3893551566661901E-3</v>
      </c>
      <c r="N213" s="401">
        <v>8.8802158033653698E-4</v>
      </c>
      <c r="O213" s="401">
        <v>9.8637864862010966E-4</v>
      </c>
      <c r="P213" s="401">
        <v>3.3215275924383652E-3</v>
      </c>
      <c r="Q213" s="402">
        <v>7.5219370927314419E-4</v>
      </c>
    </row>
    <row r="214" spans="2:17" x14ac:dyDescent="0.25">
      <c r="B214" s="54">
        <v>3</v>
      </c>
      <c r="C214" s="55">
        <v>2</v>
      </c>
      <c r="D214" s="56" t="s">
        <v>191</v>
      </c>
      <c r="E214" s="400">
        <v>3.2799188358812065E-6</v>
      </c>
      <c r="F214" s="401">
        <v>-3.7409545363107218E-6</v>
      </c>
      <c r="G214" s="401">
        <v>-1.055032822427216E-5</v>
      </c>
      <c r="H214" s="401">
        <v>-2.2258533551281799E-5</v>
      </c>
      <c r="I214" s="401">
        <v>-1.7381049605794138E-5</v>
      </c>
      <c r="J214" s="401">
        <v>-1.2128332393893737E-5</v>
      </c>
      <c r="K214" s="401">
        <v>8.9050285813418789E-7</v>
      </c>
      <c r="L214" s="401">
        <v>2.060777333325489E-6</v>
      </c>
      <c r="M214" s="401">
        <v>-2.8046729403497927E-5</v>
      </c>
      <c r="N214" s="401">
        <v>-2.126094162255745E-5</v>
      </c>
      <c r="O214" s="401">
        <v>-2.3456947427900128E-5</v>
      </c>
      <c r="P214" s="401">
        <v>-7.2828098182170728E-5</v>
      </c>
      <c r="Q214" s="402">
        <v>-1.3503301392107497E-5</v>
      </c>
    </row>
    <row r="215" spans="2:17" x14ac:dyDescent="0.25">
      <c r="B215" s="54">
        <v>3</v>
      </c>
      <c r="C215" s="55">
        <v>3</v>
      </c>
      <c r="D215" s="56" t="s">
        <v>188</v>
      </c>
      <c r="E215" s="400">
        <v>4.5186060915390652E-2</v>
      </c>
      <c r="F215" s="401">
        <v>0.21832751482725143</v>
      </c>
      <c r="G215" s="401">
        <v>0.31080481509367625</v>
      </c>
      <c r="H215" s="401">
        <v>0.28612926801045746</v>
      </c>
      <c r="I215" s="401">
        <v>0.23244499464829757</v>
      </c>
      <c r="J215" s="401">
        <v>0.32039169669151318</v>
      </c>
      <c r="K215" s="401">
        <v>0.41269593636194857</v>
      </c>
      <c r="L215" s="401">
        <v>0.75382394591967261</v>
      </c>
      <c r="M215" s="401">
        <v>1.0622949719429013</v>
      </c>
      <c r="N215" s="401">
        <v>0.34721579253673551</v>
      </c>
      <c r="O215" s="401">
        <v>0.49627541502316797</v>
      </c>
      <c r="P215" s="401">
        <v>0.89630624055862418</v>
      </c>
      <c r="Q215" s="402">
        <v>0.33175410102556158</v>
      </c>
    </row>
    <row r="216" spans="2:17" x14ac:dyDescent="0.25">
      <c r="B216" s="54">
        <v>3</v>
      </c>
      <c r="C216" s="55">
        <v>3</v>
      </c>
      <c r="D216" s="56" t="s">
        <v>189</v>
      </c>
      <c r="E216" s="400">
        <v>6.2818147412847716E-4</v>
      </c>
      <c r="F216" s="401">
        <v>1.1632247916954703E-3</v>
      </c>
      <c r="G216" s="401">
        <v>1.447471245116002E-3</v>
      </c>
      <c r="H216" s="401">
        <v>2.4405518009760446E-3</v>
      </c>
      <c r="I216" s="401">
        <v>4.1263424635813728E-3</v>
      </c>
      <c r="J216" s="401">
        <v>5.0947016688307929E-3</v>
      </c>
      <c r="K216" s="401">
        <v>6.2273841614675024E-3</v>
      </c>
      <c r="L216" s="401">
        <v>1.4825483470020532E-2</v>
      </c>
      <c r="M216" s="401">
        <v>1.2866838446586091E-2</v>
      </c>
      <c r="N216" s="401">
        <v>4.3627313991665452E-3</v>
      </c>
      <c r="O216" s="401">
        <v>9.0557795246627229E-3</v>
      </c>
      <c r="P216" s="401">
        <v>8.0189234935320024E-3</v>
      </c>
      <c r="Q216" s="402">
        <v>3.4642956560663935E-3</v>
      </c>
    </row>
    <row r="217" spans="2:17" x14ac:dyDescent="0.25">
      <c r="B217" s="54">
        <v>3</v>
      </c>
      <c r="C217" s="55">
        <v>3</v>
      </c>
      <c r="D217" s="56" t="s">
        <v>190</v>
      </c>
      <c r="E217" s="400">
        <v>6.9661436077111998E-5</v>
      </c>
      <c r="F217" s="401">
        <v>2.7645961978496603E-4</v>
      </c>
      <c r="G217" s="401">
        <v>4.7626698472144255E-4</v>
      </c>
      <c r="H217" s="401">
        <v>7.9520021094170294E-4</v>
      </c>
      <c r="I217" s="401">
        <v>6.6981821522845851E-4</v>
      </c>
      <c r="J217" s="401">
        <v>6.1434264661688128E-4</v>
      </c>
      <c r="K217" s="401">
        <v>5.6526126960913337E-4</v>
      </c>
      <c r="L217" s="401">
        <v>6.7219979592136327E-4</v>
      </c>
      <c r="M217" s="401">
        <v>1.6950629912056219E-3</v>
      </c>
      <c r="N217" s="401">
        <v>1.0260390530238354E-3</v>
      </c>
      <c r="O217" s="401">
        <v>1.0210036415181259E-3</v>
      </c>
      <c r="P217" s="401">
        <v>1.6694794515351903E-3</v>
      </c>
      <c r="Q217" s="402">
        <v>6.3156263504420766E-4</v>
      </c>
    </row>
    <row r="218" spans="2:17" x14ac:dyDescent="0.25">
      <c r="B218" s="54">
        <v>3</v>
      </c>
      <c r="C218" s="55">
        <v>3</v>
      </c>
      <c r="D218" s="56" t="s">
        <v>191</v>
      </c>
      <c r="E218" s="400">
        <v>-2.0937231407669469E-6</v>
      </c>
      <c r="F218" s="401">
        <v>-2.8396709138279924E-6</v>
      </c>
      <c r="G218" s="401">
        <v>-6.6597335961037601E-6</v>
      </c>
      <c r="H218" s="401">
        <v>-1.7071693481496918E-5</v>
      </c>
      <c r="I218" s="401">
        <v>-1.6264709345156919E-5</v>
      </c>
      <c r="J218" s="401">
        <v>-1.0838384053321883E-5</v>
      </c>
      <c r="K218" s="401">
        <v>-7.7398079964849693E-6</v>
      </c>
      <c r="L218" s="401">
        <v>5.5272685017990168E-6</v>
      </c>
      <c r="M218" s="401">
        <v>-1.1991874460295757E-5</v>
      </c>
      <c r="N218" s="401">
        <v>-2.6873677604265204E-5</v>
      </c>
      <c r="O218" s="401">
        <v>-2.6395091412136023E-5</v>
      </c>
      <c r="P218" s="401">
        <v>-2.1502887938684062E-5</v>
      </c>
      <c r="Q218" s="402">
        <v>-1.1139227096903231E-5</v>
      </c>
    </row>
    <row r="219" spans="2:17" x14ac:dyDescent="0.25">
      <c r="B219" s="54">
        <v>4</v>
      </c>
      <c r="C219" s="55">
        <v>1</v>
      </c>
      <c r="D219" s="56" t="s">
        <v>188</v>
      </c>
      <c r="E219" s="400">
        <v>6.5076017379760737E-2</v>
      </c>
      <c r="F219" s="401">
        <v>0.22960067292054492</v>
      </c>
      <c r="G219" s="401">
        <v>0.31769586006800338</v>
      </c>
      <c r="H219" s="401">
        <v>0.28678922355175024</v>
      </c>
      <c r="I219" s="401">
        <v>0.25049379567305247</v>
      </c>
      <c r="J219" s="401">
        <v>0.34005125761032107</v>
      </c>
      <c r="K219" s="401">
        <v>0.44859792093435924</v>
      </c>
      <c r="L219" s="401">
        <v>0.87575716574986784</v>
      </c>
      <c r="M219" s="401">
        <v>1.2621151725451156</v>
      </c>
      <c r="N219" s="401">
        <v>0.36524644096692416</v>
      </c>
      <c r="O219" s="401">
        <v>0.44734834035237636</v>
      </c>
      <c r="P219" s="401">
        <v>0.76602267026901272</v>
      </c>
      <c r="Q219" s="402">
        <v>0.34486796017487853</v>
      </c>
    </row>
    <row r="220" spans="2:17" x14ac:dyDescent="0.25">
      <c r="B220" s="54">
        <v>4</v>
      </c>
      <c r="C220" s="55">
        <v>1</v>
      </c>
      <c r="D220" s="56" t="s">
        <v>189</v>
      </c>
      <c r="E220" s="400">
        <v>1.1772930871032783E-4</v>
      </c>
      <c r="F220" s="401">
        <v>-1.4321456555488395E-3</v>
      </c>
      <c r="G220" s="401">
        <v>-2.0877659008219649E-3</v>
      </c>
      <c r="H220" s="401">
        <v>-2.0310644381668834E-3</v>
      </c>
      <c r="I220" s="401">
        <v>-8.9450122060566616E-5</v>
      </c>
      <c r="J220" s="401">
        <v>-4.1039244625674188E-4</v>
      </c>
      <c r="K220" s="401">
        <v>-5.109581254023272E-5</v>
      </c>
      <c r="L220" s="401">
        <v>-1.544195259599233E-2</v>
      </c>
      <c r="M220" s="401">
        <v>-5.4429537639102993E-2</v>
      </c>
      <c r="N220" s="401">
        <v>1.1846101737892885E-3</v>
      </c>
      <c r="O220" s="401">
        <v>6.018825900026694E-3</v>
      </c>
      <c r="P220" s="401">
        <v>-1.2761365468870719E-2</v>
      </c>
      <c r="Q220" s="402">
        <v>-2.6367024130390286E-3</v>
      </c>
    </row>
    <row r="221" spans="2:17" x14ac:dyDescent="0.25">
      <c r="B221" s="54">
        <v>4</v>
      </c>
      <c r="C221" s="55">
        <v>1</v>
      </c>
      <c r="D221" s="56" t="s">
        <v>190</v>
      </c>
      <c r="E221" s="400">
        <v>-1.0531757348206253E-4</v>
      </c>
      <c r="F221" s="401">
        <v>3.8959609348943438E-4</v>
      </c>
      <c r="G221" s="401">
        <v>7.2566005629259519E-4</v>
      </c>
      <c r="H221" s="401">
        <v>1.1438110404775978E-3</v>
      </c>
      <c r="I221" s="401">
        <v>8.5314843447614069E-4</v>
      </c>
      <c r="J221" s="401">
        <v>8.5262952932527874E-4</v>
      </c>
      <c r="K221" s="401">
        <v>5.5896570267794006E-4</v>
      </c>
      <c r="L221" s="401">
        <v>2.5998441142079977E-3</v>
      </c>
      <c r="M221" s="401">
        <v>7.3819482798898753E-3</v>
      </c>
      <c r="N221" s="401">
        <v>9.7681671849914531E-4</v>
      </c>
      <c r="O221" s="401">
        <v>9.5150431309824475E-4</v>
      </c>
      <c r="P221" s="401">
        <v>4.0587839043084847E-3</v>
      </c>
      <c r="Q221" s="402">
        <v>1.0051930749828014E-3</v>
      </c>
    </row>
    <row r="222" spans="2:17" x14ac:dyDescent="0.25">
      <c r="B222" s="54">
        <v>4</v>
      </c>
      <c r="C222" s="55">
        <v>1</v>
      </c>
      <c r="D222" s="56" t="s">
        <v>191</v>
      </c>
      <c r="E222" s="400">
        <v>5.5707946257621005E-6</v>
      </c>
      <c r="F222" s="401">
        <v>-3.5509379564696863E-6</v>
      </c>
      <c r="G222" s="401">
        <v>-1.1409956327963026E-5</v>
      </c>
      <c r="H222" s="401">
        <v>-2.4108913030240951E-5</v>
      </c>
      <c r="I222" s="401">
        <v>-1.7529710253126038E-5</v>
      </c>
      <c r="J222" s="401">
        <v>-1.2220252557095405E-5</v>
      </c>
      <c r="K222" s="401">
        <v>1.9081301622457483E-6</v>
      </c>
      <c r="L222" s="401">
        <v>-3.6926521820529249E-5</v>
      </c>
      <c r="M222" s="401">
        <v>-1.7192471474293349E-4</v>
      </c>
      <c r="N222" s="401">
        <v>-1.9900764902386499E-5</v>
      </c>
      <c r="O222" s="401">
        <v>-1.7447579469714126E-5</v>
      </c>
      <c r="P222" s="401">
        <v>-9.3239015829405704E-5</v>
      </c>
      <c r="Q222" s="402">
        <v>-1.8002417618039937E-5</v>
      </c>
    </row>
    <row r="223" spans="2:17" x14ac:dyDescent="0.25">
      <c r="B223" s="54">
        <v>4</v>
      </c>
      <c r="C223" s="55">
        <v>2</v>
      </c>
      <c r="D223" s="56" t="s">
        <v>188</v>
      </c>
      <c r="E223" s="400">
        <v>5.1868955418467505E-2</v>
      </c>
      <c r="F223" s="401">
        <v>0.21558909614880881</v>
      </c>
      <c r="G223" s="401">
        <v>0.30389368534088135</v>
      </c>
      <c r="H223" s="401">
        <v>0.27128191987673461</v>
      </c>
      <c r="I223" s="401">
        <v>0.22964907288551334</v>
      </c>
      <c r="J223" s="401">
        <v>0.31309145887692785</v>
      </c>
      <c r="K223" s="401">
        <v>0.39793325364589688</v>
      </c>
      <c r="L223" s="401">
        <v>0.76552345951398215</v>
      </c>
      <c r="M223" s="401">
        <v>1.0513694127400715</v>
      </c>
      <c r="N223" s="401">
        <v>0.33716435929139477</v>
      </c>
      <c r="O223" s="401">
        <v>0.42502972483634949</v>
      </c>
      <c r="P223" s="401">
        <v>0.76018729408582075</v>
      </c>
      <c r="Q223" s="402">
        <v>0.31934581496939074</v>
      </c>
    </row>
    <row r="224" spans="2:17" x14ac:dyDescent="0.25">
      <c r="B224" s="54">
        <v>4</v>
      </c>
      <c r="C224" s="55">
        <v>2</v>
      </c>
      <c r="D224" s="56" t="s">
        <v>189</v>
      </c>
      <c r="E224" s="400">
        <v>1.2602313441928527E-3</v>
      </c>
      <c r="F224" s="401">
        <v>5.2396045663417943E-4</v>
      </c>
      <c r="G224" s="401">
        <v>1.7535213522884582E-4</v>
      </c>
      <c r="H224" s="401">
        <v>8.8909178648049754E-4</v>
      </c>
      <c r="I224" s="401">
        <v>2.9424316168016468E-3</v>
      </c>
      <c r="J224" s="401">
        <v>3.6322237242073646E-3</v>
      </c>
      <c r="K224" s="401">
        <v>6.9691261657236683E-3</v>
      </c>
      <c r="L224" s="401">
        <v>2.3302485371803207E-3</v>
      </c>
      <c r="M224" s="401">
        <v>-1.1956045399734806E-2</v>
      </c>
      <c r="N224" s="401">
        <v>4.9543899122882545E-3</v>
      </c>
      <c r="O224" s="401">
        <v>9.3435842743564475E-3</v>
      </c>
      <c r="P224" s="401">
        <v>-9.8479334395248641E-3</v>
      </c>
      <c r="Q224" s="402">
        <v>1.5140648070894802E-3</v>
      </c>
    </row>
    <row r="225" spans="2:17" x14ac:dyDescent="0.25">
      <c r="B225" s="54">
        <v>4</v>
      </c>
      <c r="C225" s="55">
        <v>2</v>
      </c>
      <c r="D225" s="56" t="s">
        <v>190</v>
      </c>
      <c r="E225" s="400">
        <v>-8.5125362504890508E-5</v>
      </c>
      <c r="F225" s="401">
        <v>3.3004031167094229E-4</v>
      </c>
      <c r="G225" s="401">
        <v>6.296509455689744E-4</v>
      </c>
      <c r="H225" s="401">
        <v>1.001486163977147E-3</v>
      </c>
      <c r="I225" s="401">
        <v>7.5074308714666749E-4</v>
      </c>
      <c r="J225" s="401">
        <v>7.1708506759091475E-4</v>
      </c>
      <c r="K225" s="401">
        <v>3.5797026972253678E-4</v>
      </c>
      <c r="L225" s="401">
        <v>1.8506146498493364E-3</v>
      </c>
      <c r="M225" s="401">
        <v>4.8559987808996768E-3</v>
      </c>
      <c r="N225" s="401">
        <v>8.8789027904992359E-4</v>
      </c>
      <c r="O225" s="401">
        <v>9.8623824251559632E-4</v>
      </c>
      <c r="P225" s="401">
        <v>4.3409974216581226E-3</v>
      </c>
      <c r="Q225" s="402">
        <v>8.4776848730455624E-4</v>
      </c>
    </row>
    <row r="226" spans="2:17" x14ac:dyDescent="0.25">
      <c r="B226" s="54">
        <v>4</v>
      </c>
      <c r="C226" s="55">
        <v>2</v>
      </c>
      <c r="D226" s="56" t="s">
        <v>191</v>
      </c>
      <c r="E226" s="400">
        <v>3.2812818087400174E-6</v>
      </c>
      <c r="F226" s="401">
        <v>-3.7382777980018575E-6</v>
      </c>
      <c r="G226" s="401">
        <v>-1.0547085600762578E-5</v>
      </c>
      <c r="H226" s="401">
        <v>-2.2254319081449221E-5</v>
      </c>
      <c r="I226" s="401">
        <v>-1.7377405362992538E-5</v>
      </c>
      <c r="J226" s="401">
        <v>-1.2123846559674699E-5</v>
      </c>
      <c r="K226" s="401">
        <v>8.9711040003691209E-7</v>
      </c>
      <c r="L226" s="401">
        <v>-2.9518440504729848E-5</v>
      </c>
      <c r="M226" s="401">
        <v>-1.2422943518156234E-4</v>
      </c>
      <c r="N226" s="401">
        <v>-2.1257688868110802E-5</v>
      </c>
      <c r="O226" s="401">
        <v>-2.3453763419097992E-5</v>
      </c>
      <c r="P226" s="401">
        <v>-1.0999953395975777E-4</v>
      </c>
      <c r="Q226" s="402">
        <v>-1.7114447012056056E-5</v>
      </c>
    </row>
    <row r="227" spans="2:17" x14ac:dyDescent="0.25">
      <c r="B227" s="54">
        <v>4</v>
      </c>
      <c r="C227" s="55">
        <v>3</v>
      </c>
      <c r="D227" s="56" t="s">
        <v>188</v>
      </c>
      <c r="E227" s="400">
        <v>4.5186335965991024E-2</v>
      </c>
      <c r="F227" s="401">
        <v>0.21832546840111414</v>
      </c>
      <c r="G227" s="401">
        <v>0.31080187559127814</v>
      </c>
      <c r="H227" s="401">
        <v>0.28612591723601033</v>
      </c>
      <c r="I227" s="401">
        <v>0.23244342207908628</v>
      </c>
      <c r="J227" s="401">
        <v>0.32038816114266699</v>
      </c>
      <c r="K227" s="401">
        <v>0.41269231438636778</v>
      </c>
      <c r="L227" s="401">
        <v>0.76622127890586833</v>
      </c>
      <c r="M227" s="401">
        <v>1.093762715657552</v>
      </c>
      <c r="N227" s="401">
        <v>0.34721343517303449</v>
      </c>
      <c r="O227" s="401">
        <v>0.49627248843510963</v>
      </c>
      <c r="P227" s="401">
        <v>0.91077805360158282</v>
      </c>
      <c r="Q227" s="402">
        <v>0.33304233553136386</v>
      </c>
    </row>
    <row r="228" spans="2:17" x14ac:dyDescent="0.25">
      <c r="B228" s="54">
        <v>4</v>
      </c>
      <c r="C228" s="55">
        <v>3</v>
      </c>
      <c r="D228" s="56" t="s">
        <v>189</v>
      </c>
      <c r="E228" s="400">
        <v>6.282995722713202E-4</v>
      </c>
      <c r="F228" s="401">
        <v>1.1636352046409573E-3</v>
      </c>
      <c r="G228" s="401">
        <v>1.4479871037493576E-3</v>
      </c>
      <c r="H228" s="401">
        <v>2.4411128899017366E-3</v>
      </c>
      <c r="I228" s="401">
        <v>4.1269956340415559E-3</v>
      </c>
      <c r="J228" s="401">
        <v>5.0955231807310016E-3</v>
      </c>
      <c r="K228" s="401">
        <v>6.2283647840765868E-3</v>
      </c>
      <c r="L228" s="401">
        <v>8.2333099904594378E-3</v>
      </c>
      <c r="M228" s="401">
        <v>-4.6771122627510256E-3</v>
      </c>
      <c r="N228" s="401">
        <v>4.3633123042052186E-3</v>
      </c>
      <c r="O228" s="401">
        <v>9.0563858236187844E-3</v>
      </c>
      <c r="P228" s="401">
        <v>3.2052235632975379E-4</v>
      </c>
      <c r="Q228" s="402">
        <v>2.7621953598771509E-3</v>
      </c>
    </row>
    <row r="229" spans="2:17" x14ac:dyDescent="0.25">
      <c r="B229" s="54">
        <v>4</v>
      </c>
      <c r="C229" s="55">
        <v>3</v>
      </c>
      <c r="D229" s="56" t="s">
        <v>190</v>
      </c>
      <c r="E229" s="400">
        <v>6.9649507984137106E-5</v>
      </c>
      <c r="F229" s="401">
        <v>2.7641352691572501E-4</v>
      </c>
      <c r="G229" s="401">
        <v>4.7620850895251429E-4</v>
      </c>
      <c r="H229" s="401">
        <v>7.951360907935322E-4</v>
      </c>
      <c r="I229" s="401">
        <v>6.6974193361394663E-4</v>
      </c>
      <c r="J229" s="401">
        <v>6.1424744764824633E-4</v>
      </c>
      <c r="K229" s="401">
        <v>5.6514341931243107E-4</v>
      </c>
      <c r="L229" s="401">
        <v>1.5391372665241832E-3</v>
      </c>
      <c r="M229" s="401">
        <v>4.1463809274571214E-3</v>
      </c>
      <c r="N229" s="401">
        <v>1.0259702654082145E-3</v>
      </c>
      <c r="O229" s="401">
        <v>1.0209347366730976E-3</v>
      </c>
      <c r="P229" s="401">
        <v>2.6818851664627595E-3</v>
      </c>
      <c r="Q229" s="402">
        <v>7.2678637462895925E-4</v>
      </c>
    </row>
    <row r="230" spans="2:17" x14ac:dyDescent="0.25">
      <c r="B230" s="54">
        <v>4</v>
      </c>
      <c r="C230" s="55">
        <v>3</v>
      </c>
      <c r="D230" s="56" t="s">
        <v>191</v>
      </c>
      <c r="E230" s="400">
        <v>-2.0935745235379169E-6</v>
      </c>
      <c r="F230" s="401">
        <v>-2.8389429336336787E-6</v>
      </c>
      <c r="G230" s="401">
        <v>-6.6588210881265856E-6</v>
      </c>
      <c r="H230" s="401">
        <v>-1.7070799788117157E-5</v>
      </c>
      <c r="I230" s="401">
        <v>-1.6263283777579672E-5</v>
      </c>
      <c r="J230" s="401">
        <v>-1.083685645273511E-5</v>
      </c>
      <c r="K230" s="401">
        <v>-7.7375683357480557E-6</v>
      </c>
      <c r="L230" s="401">
        <v>-2.608458687375463E-5</v>
      </c>
      <c r="M230" s="401">
        <v>-1.0761459413756681E-4</v>
      </c>
      <c r="N230" s="401">
        <v>-2.6872451760876249E-5</v>
      </c>
      <c r="O230" s="401">
        <v>-2.6394176733243842E-5</v>
      </c>
      <c r="P230" s="401">
        <v>-5.8417608664771152E-5</v>
      </c>
      <c r="Q230" s="402">
        <v>-1.4737391379996862E-5</v>
      </c>
    </row>
    <row r="231" spans="2:17" x14ac:dyDescent="0.25">
      <c r="B231" s="54">
        <v>5</v>
      </c>
      <c r="C231" s="55">
        <v>1</v>
      </c>
      <c r="D231" s="56" t="s">
        <v>188</v>
      </c>
      <c r="E231" s="400">
        <v>6.5625555316607145E-2</v>
      </c>
      <c r="F231" s="401">
        <v>0.23413065175215403</v>
      </c>
      <c r="G231" s="401">
        <v>0.32385511497656511</v>
      </c>
      <c r="H231" s="401">
        <v>0.29416515330473592</v>
      </c>
      <c r="I231" s="401">
        <v>0.25556528568267828</v>
      </c>
      <c r="J231" s="401">
        <v>0.34825791120529193</v>
      </c>
      <c r="K231" s="401">
        <v>0.45704613824685414</v>
      </c>
      <c r="L231" s="401">
        <v>0.91697504123051976</v>
      </c>
      <c r="M231" s="401">
        <v>1.2235940456390388</v>
      </c>
      <c r="N231" s="401">
        <v>0.37059963345527658</v>
      </c>
      <c r="O231" s="401">
        <v>0.45436438520749411</v>
      </c>
      <c r="P231" s="401">
        <v>0.77935256759325688</v>
      </c>
      <c r="Q231" s="402">
        <v>0.35120234265923511</v>
      </c>
    </row>
    <row r="232" spans="2:17" x14ac:dyDescent="0.25">
      <c r="B232" s="54">
        <v>5</v>
      </c>
      <c r="C232" s="55">
        <v>1</v>
      </c>
      <c r="D232" s="56" t="s">
        <v>189</v>
      </c>
      <c r="E232" s="400">
        <v>-1.8912587364051226E-4</v>
      </c>
      <c r="F232" s="401">
        <v>-4.0030510258146747E-3</v>
      </c>
      <c r="G232" s="401">
        <v>-5.5855887492636883E-3</v>
      </c>
      <c r="H232" s="401">
        <v>-6.2476148526383534E-3</v>
      </c>
      <c r="I232" s="401">
        <v>-3.0139644963850742E-3</v>
      </c>
      <c r="J232" s="401">
        <v>-5.2070696118180406E-3</v>
      </c>
      <c r="K232" s="401">
        <v>-4.9651188757082456E-3</v>
      </c>
      <c r="L232" s="401">
        <v>-2.4912976591088792E-2</v>
      </c>
      <c r="M232" s="401">
        <v>-3.6194590444979906E-2</v>
      </c>
      <c r="N232" s="401">
        <v>-1.9199843312199193E-3</v>
      </c>
      <c r="O232" s="401">
        <v>1.9123161786178552E-3</v>
      </c>
      <c r="P232" s="401">
        <v>-1.7193377209015474E-2</v>
      </c>
      <c r="Q232" s="402">
        <v>-5.8570476935158973E-3</v>
      </c>
    </row>
    <row r="233" spans="2:17" x14ac:dyDescent="0.25">
      <c r="B233" s="54">
        <v>5</v>
      </c>
      <c r="C233" s="55">
        <v>1</v>
      </c>
      <c r="D233" s="56" t="s">
        <v>190</v>
      </c>
      <c r="E233" s="400">
        <v>-6.2329240907461547E-5</v>
      </c>
      <c r="F233" s="401">
        <v>7.5697351577051384E-4</v>
      </c>
      <c r="G233" s="401">
        <v>1.2258739060872102E-3</v>
      </c>
      <c r="H233" s="401">
        <v>1.752078368183063E-3</v>
      </c>
      <c r="I233" s="401">
        <v>1.2798748893059785E-3</v>
      </c>
      <c r="J233" s="401">
        <v>1.5645372466399161E-3</v>
      </c>
      <c r="K233" s="401">
        <v>1.284000040455298E-3</v>
      </c>
      <c r="L233" s="401">
        <v>3.6269322228737414E-3</v>
      </c>
      <c r="M233" s="401">
        <v>5.5286499448033866E-3</v>
      </c>
      <c r="N233" s="401">
        <v>1.4332118281326111E-3</v>
      </c>
      <c r="O233" s="401">
        <v>1.562182398595456E-3</v>
      </c>
      <c r="P233" s="401">
        <v>4.8832229853093285E-3</v>
      </c>
      <c r="Q233" s="402">
        <v>1.4807639921861225E-3</v>
      </c>
    </row>
    <row r="234" spans="2:17" x14ac:dyDescent="0.25">
      <c r="B234" s="54">
        <v>5</v>
      </c>
      <c r="C234" s="55">
        <v>1</v>
      </c>
      <c r="D234" s="56" t="s">
        <v>191</v>
      </c>
      <c r="E234" s="400">
        <v>3.8879193371363094E-6</v>
      </c>
      <c r="F234" s="401">
        <v>-1.8235427351334178E-5</v>
      </c>
      <c r="G234" s="401">
        <v>-3.1419565123972695E-5</v>
      </c>
      <c r="H234" s="401">
        <v>-4.8684256575370715E-5</v>
      </c>
      <c r="I234" s="401">
        <v>-3.4995501529549891E-5</v>
      </c>
      <c r="J234" s="401">
        <v>-4.1901973375027482E-5</v>
      </c>
      <c r="K234" s="401">
        <v>-2.813499157476907E-5</v>
      </c>
      <c r="L234" s="401">
        <v>-8.2929670034959311E-5</v>
      </c>
      <c r="M234" s="401">
        <v>-1.3658646913860447E-4</v>
      </c>
      <c r="N234" s="401">
        <v>-3.8738979031017126E-5</v>
      </c>
      <c r="O234" s="401">
        <v>-4.2969101885074665E-5</v>
      </c>
      <c r="P234" s="401">
        <v>-1.4166821376149216E-4</v>
      </c>
      <c r="Q234" s="402">
        <v>-3.8536500128560627E-5</v>
      </c>
    </row>
    <row r="235" spans="2:17" x14ac:dyDescent="0.25">
      <c r="B235" s="54">
        <v>5</v>
      </c>
      <c r="C235" s="55">
        <v>2</v>
      </c>
      <c r="D235" s="56" t="s">
        <v>188</v>
      </c>
      <c r="E235" s="400">
        <v>5.2413870021700851E-2</v>
      </c>
      <c r="F235" s="401">
        <v>0.22005590001742048</v>
      </c>
      <c r="G235" s="401">
        <v>0.30996762911478692</v>
      </c>
      <c r="H235" s="401">
        <v>0.27854682703812939</v>
      </c>
      <c r="I235" s="401">
        <v>0.23464999198913583</v>
      </c>
      <c r="J235" s="401">
        <v>0.32095860441525792</v>
      </c>
      <c r="K235" s="401">
        <v>0.40617492496967311</v>
      </c>
      <c r="L235" s="401">
        <v>0.76516376932462071</v>
      </c>
      <c r="M235" s="401">
        <v>1.0113650957743325</v>
      </c>
      <c r="N235" s="401">
        <v>0.34228290021419538</v>
      </c>
      <c r="O235" s="401">
        <v>0.43161433339118971</v>
      </c>
      <c r="P235" s="401">
        <v>0.75877247055371644</v>
      </c>
      <c r="Q235" s="402">
        <v>0.32398614626750361</v>
      </c>
    </row>
    <row r="236" spans="2:17" x14ac:dyDescent="0.25">
      <c r="B236" s="54">
        <v>5</v>
      </c>
      <c r="C236" s="55">
        <v>2</v>
      </c>
      <c r="D236" s="56" t="s">
        <v>189</v>
      </c>
      <c r="E236" s="400">
        <v>9.5572077908727794E-4</v>
      </c>
      <c r="F236" s="401">
        <v>-2.0148911207289173E-3</v>
      </c>
      <c r="G236" s="401">
        <v>-3.2792587206636153E-3</v>
      </c>
      <c r="H236" s="401">
        <v>-3.2735093762315702E-3</v>
      </c>
      <c r="I236" s="401">
        <v>5.4006439452005714E-5</v>
      </c>
      <c r="J236" s="401">
        <v>-9.9815430572632469E-4</v>
      </c>
      <c r="K236" s="401">
        <v>2.1520189697787E-3</v>
      </c>
      <c r="L236" s="401">
        <v>7.4041008416679056E-4</v>
      </c>
      <c r="M236" s="401">
        <v>7.0329271227977663E-3</v>
      </c>
      <c r="N236" s="401">
        <v>1.9662880657852718E-3</v>
      </c>
      <c r="O236" s="401">
        <v>5.4385173246669569E-3</v>
      </c>
      <c r="P236" s="401">
        <v>-1.1364942253006575E-2</v>
      </c>
      <c r="Q236" s="402">
        <v>-1.3366347015238719E-3</v>
      </c>
    </row>
    <row r="237" spans="2:17" x14ac:dyDescent="0.25">
      <c r="B237" s="54">
        <v>5</v>
      </c>
      <c r="C237" s="55">
        <v>2</v>
      </c>
      <c r="D237" s="56" t="s">
        <v>190</v>
      </c>
      <c r="E237" s="400">
        <v>-4.2419292310596005E-5</v>
      </c>
      <c r="F237" s="401">
        <v>6.935691443599746E-4</v>
      </c>
      <c r="G237" s="401">
        <v>1.1246925814724204E-3</v>
      </c>
      <c r="H237" s="401">
        <v>1.6037350116701442E-3</v>
      </c>
      <c r="I237" s="401">
        <v>1.1730762784714491E-3</v>
      </c>
      <c r="J237" s="401">
        <v>1.4102749465715084E-3</v>
      </c>
      <c r="K237" s="401">
        <v>1.0729565356786428E-3</v>
      </c>
      <c r="L237" s="401">
        <v>2.4115286750115458E-3</v>
      </c>
      <c r="M237" s="401">
        <v>2.9134519207171966E-3</v>
      </c>
      <c r="N237" s="401">
        <v>1.3308285459841349E-3</v>
      </c>
      <c r="O237" s="401">
        <v>1.5763812253386281E-3</v>
      </c>
      <c r="P237" s="401">
        <v>4.9895552141127446E-3</v>
      </c>
      <c r="Q237" s="402">
        <v>1.2973070437726898E-3</v>
      </c>
    </row>
    <row r="238" spans="2:17" x14ac:dyDescent="0.25">
      <c r="B238" s="54">
        <v>5</v>
      </c>
      <c r="C238" s="55">
        <v>2</v>
      </c>
      <c r="D238" s="56" t="s">
        <v>191</v>
      </c>
      <c r="E238" s="400">
        <v>1.6072609591375308E-6</v>
      </c>
      <c r="F238" s="401">
        <v>-1.83032423969888E-5</v>
      </c>
      <c r="G238" s="401">
        <v>-3.0396975107959982E-5</v>
      </c>
      <c r="H238" s="401">
        <v>-4.666587070105344E-5</v>
      </c>
      <c r="I238" s="401">
        <v>-3.4703435296686368E-5</v>
      </c>
      <c r="J238" s="401">
        <v>-4.129233410424195E-5</v>
      </c>
      <c r="K238" s="401">
        <v>-2.891751818167857E-5</v>
      </c>
      <c r="L238" s="401">
        <v>-6.7071361060557533E-5</v>
      </c>
      <c r="M238" s="401">
        <v>-8.6294896698035307E-5</v>
      </c>
      <c r="N238" s="401">
        <v>-3.970651029845783E-5</v>
      </c>
      <c r="O238" s="401">
        <v>-4.8536200889711202E-5</v>
      </c>
      <c r="P238" s="401">
        <v>-1.5550736184488862E-4</v>
      </c>
      <c r="Q238" s="402">
        <v>-3.7098535651879598E-5</v>
      </c>
    </row>
    <row r="239" spans="2:17" x14ac:dyDescent="0.25">
      <c r="B239" s="54">
        <v>5</v>
      </c>
      <c r="C239" s="55">
        <v>3</v>
      </c>
      <c r="D239" s="56" t="s">
        <v>188</v>
      </c>
      <c r="E239" s="400">
        <v>4.5694891984264061E-2</v>
      </c>
      <c r="F239" s="401">
        <v>0.22230176975329718</v>
      </c>
      <c r="G239" s="401">
        <v>0.31618407368659979</v>
      </c>
      <c r="H239" s="401">
        <v>0.29247248272101078</v>
      </c>
      <c r="I239" s="401">
        <v>0.23692268232504526</v>
      </c>
      <c r="J239" s="401">
        <v>0.32649667163689938</v>
      </c>
      <c r="K239" s="401">
        <v>0.41982170144716902</v>
      </c>
      <c r="L239" s="401">
        <v>0.76550537943840047</v>
      </c>
      <c r="M239" s="401">
        <v>1.0564448118209842</v>
      </c>
      <c r="N239" s="401">
        <v>0.35091018080711373</v>
      </c>
      <c r="O239" s="401">
        <v>0.50058913032213848</v>
      </c>
      <c r="P239" s="401">
        <v>0.90860800743103054</v>
      </c>
      <c r="Q239" s="402">
        <v>0.33689339225863424</v>
      </c>
    </row>
    <row r="240" spans="2:17" x14ac:dyDescent="0.25">
      <c r="B240" s="54">
        <v>5</v>
      </c>
      <c r="C240" s="55">
        <v>3</v>
      </c>
      <c r="D240" s="56" t="s">
        <v>189</v>
      </c>
      <c r="E240" s="400">
        <v>3.4145136177829238E-4</v>
      </c>
      <c r="F240" s="401">
        <v>-1.1359591025456787E-3</v>
      </c>
      <c r="G240" s="401">
        <v>-1.667360128963661E-3</v>
      </c>
      <c r="H240" s="401">
        <v>-1.2583525383898556E-3</v>
      </c>
      <c r="I240" s="401">
        <v>1.4969249687967238E-3</v>
      </c>
      <c r="J240" s="401">
        <v>1.3103220863636572E-3</v>
      </c>
      <c r="K240" s="401">
        <v>1.9338283493894671E-3</v>
      </c>
      <c r="L240" s="401">
        <v>6.8829657441900451E-3</v>
      </c>
      <c r="M240" s="401">
        <v>1.2968370547661373E-2</v>
      </c>
      <c r="N240" s="401">
        <v>2.0573204839146211E-3</v>
      </c>
      <c r="O240" s="401">
        <v>6.2826259558109981E-3</v>
      </c>
      <c r="P240" s="401">
        <v>-6.9449718089283519E-4</v>
      </c>
      <c r="Q240" s="402">
        <v>3.0241733311625022E-4</v>
      </c>
    </row>
    <row r="241" spans="2:17" x14ac:dyDescent="0.25">
      <c r="B241" s="54">
        <v>5</v>
      </c>
      <c r="C241" s="55">
        <v>3</v>
      </c>
      <c r="D241" s="56" t="s">
        <v>190</v>
      </c>
      <c r="E241" s="400">
        <v>1.1039344433234854E-4</v>
      </c>
      <c r="F241" s="401">
        <v>6.132620649460036E-4</v>
      </c>
      <c r="G241" s="401">
        <v>9.3301608376986588E-4</v>
      </c>
      <c r="H241" s="401">
        <v>1.3424527716317111E-3</v>
      </c>
      <c r="I241" s="401">
        <v>1.0624392162183515E-3</v>
      </c>
      <c r="J241" s="401">
        <v>1.2158872494539205E-3</v>
      </c>
      <c r="K241" s="401">
        <v>1.2261971206098186E-3</v>
      </c>
      <c r="L241" s="401">
        <v>2.0607365230163547E-3</v>
      </c>
      <c r="M241" s="401">
        <v>2.3600972650490207E-3</v>
      </c>
      <c r="N241" s="401">
        <v>1.394934739509385E-3</v>
      </c>
      <c r="O241" s="401">
        <v>1.4802552412300964E-3</v>
      </c>
      <c r="P241" s="401">
        <v>3.2484191871467506E-3</v>
      </c>
      <c r="Q241" s="402">
        <v>1.1315391212918895E-3</v>
      </c>
    </row>
    <row r="242" spans="2:17" x14ac:dyDescent="0.25">
      <c r="B242" s="54">
        <v>5</v>
      </c>
      <c r="C242" s="55">
        <v>3</v>
      </c>
      <c r="D242" s="56" t="s">
        <v>191</v>
      </c>
      <c r="E242" s="400">
        <v>-3.7150120105024224E-6</v>
      </c>
      <c r="F242" s="401">
        <v>-1.6688349314479757E-5</v>
      </c>
      <c r="G242" s="401">
        <v>-2.5459692582615459E-5</v>
      </c>
      <c r="H242" s="401">
        <v>-3.9817164735267997E-5</v>
      </c>
      <c r="I242" s="401">
        <v>-3.2747103583006908E-5</v>
      </c>
      <c r="J242" s="401">
        <v>-3.7705682061768988E-5</v>
      </c>
      <c r="K242" s="401">
        <v>-3.6360059156377135E-5</v>
      </c>
      <c r="L242" s="401">
        <v>-6.1949890138756676E-5</v>
      </c>
      <c r="M242" s="401">
        <v>-7.4201782336046223E-5</v>
      </c>
      <c r="N242" s="401">
        <v>-4.3441285324958131E-5</v>
      </c>
      <c r="O242" s="401">
        <v>-4.7747615982417318E-5</v>
      </c>
      <c r="P242" s="401">
        <v>-1.0038800855987113E-4</v>
      </c>
      <c r="Q242" s="402">
        <v>-3.345710190940034E-5</v>
      </c>
    </row>
    <row r="243" spans="2:17" x14ac:dyDescent="0.25">
      <c r="B243" s="54">
        <v>6</v>
      </c>
      <c r="C243" s="55">
        <v>1</v>
      </c>
      <c r="D243" s="56" t="s">
        <v>188</v>
      </c>
      <c r="E243" s="400">
        <v>6.5625555316607145E-2</v>
      </c>
      <c r="F243" s="401">
        <v>0.23413065175215403</v>
      </c>
      <c r="G243" s="401">
        <v>0.32385511497656511</v>
      </c>
      <c r="H243" s="401">
        <v>0.29416515330473592</v>
      </c>
      <c r="I243" s="401">
        <v>0.25556528568267828</v>
      </c>
      <c r="J243" s="401">
        <v>0.34825791120529193</v>
      </c>
      <c r="K243" s="401">
        <v>0.45704613824685414</v>
      </c>
      <c r="L243" s="401">
        <v>0.91697504123051976</v>
      </c>
      <c r="M243" s="401">
        <v>1.2235940456390388</v>
      </c>
      <c r="N243" s="401">
        <v>0.37059963345527658</v>
      </c>
      <c r="O243" s="401">
        <v>0.45436438520749411</v>
      </c>
      <c r="P243" s="401">
        <v>0.77935256759325688</v>
      </c>
      <c r="Q243" s="402">
        <v>0.35120234265923511</v>
      </c>
    </row>
    <row r="244" spans="2:17" x14ac:dyDescent="0.25">
      <c r="B244" s="54">
        <v>6</v>
      </c>
      <c r="C244" s="55">
        <v>1</v>
      </c>
      <c r="D244" s="56" t="s">
        <v>189</v>
      </c>
      <c r="E244" s="400">
        <v>-1.8912587364051226E-4</v>
      </c>
      <c r="F244" s="401">
        <v>-4.0030510258146747E-3</v>
      </c>
      <c r="G244" s="401">
        <v>-5.5855887492636883E-3</v>
      </c>
      <c r="H244" s="401">
        <v>-6.2476148526383534E-3</v>
      </c>
      <c r="I244" s="401">
        <v>-3.0139644963850742E-3</v>
      </c>
      <c r="J244" s="401">
        <v>-5.2070696118180406E-3</v>
      </c>
      <c r="K244" s="401">
        <v>-4.9651188757082456E-3</v>
      </c>
      <c r="L244" s="401">
        <v>-2.4912976591088792E-2</v>
      </c>
      <c r="M244" s="401">
        <v>-3.6194590444979906E-2</v>
      </c>
      <c r="N244" s="401">
        <v>-1.9199843312199193E-3</v>
      </c>
      <c r="O244" s="401">
        <v>1.9123161786178552E-3</v>
      </c>
      <c r="P244" s="401">
        <v>-1.7193377209015474E-2</v>
      </c>
      <c r="Q244" s="402">
        <v>-5.8570476935158973E-3</v>
      </c>
    </row>
    <row r="245" spans="2:17" x14ac:dyDescent="0.25">
      <c r="B245" s="54">
        <v>6</v>
      </c>
      <c r="C245" s="55">
        <v>1</v>
      </c>
      <c r="D245" s="56" t="s">
        <v>190</v>
      </c>
      <c r="E245" s="400">
        <v>-6.2329240907461547E-5</v>
      </c>
      <c r="F245" s="401">
        <v>7.5697351577051384E-4</v>
      </c>
      <c r="G245" s="401">
        <v>1.2258739060872102E-3</v>
      </c>
      <c r="H245" s="401">
        <v>1.752078368183063E-3</v>
      </c>
      <c r="I245" s="401">
        <v>1.2798748893059785E-3</v>
      </c>
      <c r="J245" s="401">
        <v>1.5645372466399161E-3</v>
      </c>
      <c r="K245" s="401">
        <v>1.284000040455298E-3</v>
      </c>
      <c r="L245" s="401">
        <v>3.6269322228737414E-3</v>
      </c>
      <c r="M245" s="401">
        <v>5.5286499448033866E-3</v>
      </c>
      <c r="N245" s="401">
        <v>1.4332118281326111E-3</v>
      </c>
      <c r="O245" s="401">
        <v>1.562182398595456E-3</v>
      </c>
      <c r="P245" s="401">
        <v>4.8832229853093285E-3</v>
      </c>
      <c r="Q245" s="402">
        <v>1.4807639921861225E-3</v>
      </c>
    </row>
    <row r="246" spans="2:17" x14ac:dyDescent="0.25">
      <c r="B246" s="54">
        <v>6</v>
      </c>
      <c r="C246" s="55">
        <v>1</v>
      </c>
      <c r="D246" s="56" t="s">
        <v>191</v>
      </c>
      <c r="E246" s="400">
        <v>3.8879193371363094E-6</v>
      </c>
      <c r="F246" s="401">
        <v>-1.8235427351334178E-5</v>
      </c>
      <c r="G246" s="401">
        <v>-3.1419565123972695E-5</v>
      </c>
      <c r="H246" s="401">
        <v>-4.8684256575370715E-5</v>
      </c>
      <c r="I246" s="401">
        <v>-3.4995501529549891E-5</v>
      </c>
      <c r="J246" s="401">
        <v>-4.1901973375027482E-5</v>
      </c>
      <c r="K246" s="401">
        <v>-2.813499157476907E-5</v>
      </c>
      <c r="L246" s="401">
        <v>-8.2929670034959311E-5</v>
      </c>
      <c r="M246" s="401">
        <v>-1.3658646913860447E-4</v>
      </c>
      <c r="N246" s="401">
        <v>-3.8738979031017126E-5</v>
      </c>
      <c r="O246" s="401">
        <v>-4.2969101885074665E-5</v>
      </c>
      <c r="P246" s="401">
        <v>-1.4166821376149216E-4</v>
      </c>
      <c r="Q246" s="402">
        <v>-3.8536500128560627E-5</v>
      </c>
    </row>
    <row r="247" spans="2:17" x14ac:dyDescent="0.25">
      <c r="B247" s="54">
        <v>6</v>
      </c>
      <c r="C247" s="55">
        <v>2</v>
      </c>
      <c r="D247" s="56" t="s">
        <v>188</v>
      </c>
      <c r="E247" s="400">
        <v>5.2413870021700851E-2</v>
      </c>
      <c r="F247" s="401">
        <v>0.22005590001742048</v>
      </c>
      <c r="G247" s="401">
        <v>0.30996762911478692</v>
      </c>
      <c r="H247" s="401">
        <v>0.27854682703812939</v>
      </c>
      <c r="I247" s="401">
        <v>0.23464999198913583</v>
      </c>
      <c r="J247" s="401">
        <v>0.32095860441525792</v>
      </c>
      <c r="K247" s="401">
        <v>0.40617492496967311</v>
      </c>
      <c r="L247" s="401">
        <v>0.76516376932462071</v>
      </c>
      <c r="M247" s="401">
        <v>1.0113650957743325</v>
      </c>
      <c r="N247" s="401">
        <v>0.34228290021419538</v>
      </c>
      <c r="O247" s="401">
        <v>0.43161433339118971</v>
      </c>
      <c r="P247" s="401">
        <v>0.75877247055371644</v>
      </c>
      <c r="Q247" s="402">
        <v>0.32398614626750361</v>
      </c>
    </row>
    <row r="248" spans="2:17" x14ac:dyDescent="0.25">
      <c r="B248" s="54">
        <v>6</v>
      </c>
      <c r="C248" s="55">
        <v>2</v>
      </c>
      <c r="D248" s="56" t="s">
        <v>189</v>
      </c>
      <c r="E248" s="400">
        <v>9.5572077908727794E-4</v>
      </c>
      <c r="F248" s="401">
        <v>-2.0148911207289173E-3</v>
      </c>
      <c r="G248" s="401">
        <v>-3.2792587206636153E-3</v>
      </c>
      <c r="H248" s="401">
        <v>-3.2735093762315702E-3</v>
      </c>
      <c r="I248" s="401">
        <v>5.4006439452005714E-5</v>
      </c>
      <c r="J248" s="401">
        <v>-9.9815430572632469E-4</v>
      </c>
      <c r="K248" s="401">
        <v>2.1520189697787E-3</v>
      </c>
      <c r="L248" s="401">
        <v>7.4041008416679056E-4</v>
      </c>
      <c r="M248" s="401">
        <v>7.0329271227977663E-3</v>
      </c>
      <c r="N248" s="401">
        <v>1.9662880657852718E-3</v>
      </c>
      <c r="O248" s="401">
        <v>5.4385173246669569E-3</v>
      </c>
      <c r="P248" s="401">
        <v>-1.1364942253006575E-2</v>
      </c>
      <c r="Q248" s="402">
        <v>-1.3366347015238719E-3</v>
      </c>
    </row>
    <row r="249" spans="2:17" x14ac:dyDescent="0.25">
      <c r="B249" s="54">
        <v>6</v>
      </c>
      <c r="C249" s="55">
        <v>2</v>
      </c>
      <c r="D249" s="56" t="s">
        <v>190</v>
      </c>
      <c r="E249" s="400">
        <v>-4.2419292310596005E-5</v>
      </c>
      <c r="F249" s="401">
        <v>6.935691443599746E-4</v>
      </c>
      <c r="G249" s="401">
        <v>1.1246925814724204E-3</v>
      </c>
      <c r="H249" s="401">
        <v>1.6037350116701442E-3</v>
      </c>
      <c r="I249" s="401">
        <v>1.1730762784714491E-3</v>
      </c>
      <c r="J249" s="401">
        <v>1.4102749465715084E-3</v>
      </c>
      <c r="K249" s="401">
        <v>1.0729565356786428E-3</v>
      </c>
      <c r="L249" s="401">
        <v>2.4115286750115458E-3</v>
      </c>
      <c r="M249" s="401">
        <v>2.9134519207171966E-3</v>
      </c>
      <c r="N249" s="401">
        <v>1.3308285459841349E-3</v>
      </c>
      <c r="O249" s="401">
        <v>1.5763812253386281E-3</v>
      </c>
      <c r="P249" s="401">
        <v>4.9895552141127446E-3</v>
      </c>
      <c r="Q249" s="402">
        <v>1.2973070437726898E-3</v>
      </c>
    </row>
    <row r="250" spans="2:17" x14ac:dyDescent="0.25">
      <c r="B250" s="54">
        <v>6</v>
      </c>
      <c r="C250" s="55">
        <v>2</v>
      </c>
      <c r="D250" s="56" t="s">
        <v>191</v>
      </c>
      <c r="E250" s="400">
        <v>1.6072609591375308E-6</v>
      </c>
      <c r="F250" s="401">
        <v>-1.83032423969888E-5</v>
      </c>
      <c r="G250" s="401">
        <v>-3.0396975107959982E-5</v>
      </c>
      <c r="H250" s="401">
        <v>-4.666587070105344E-5</v>
      </c>
      <c r="I250" s="401">
        <v>-3.4703435296686368E-5</v>
      </c>
      <c r="J250" s="401">
        <v>-4.129233410424195E-5</v>
      </c>
      <c r="K250" s="401">
        <v>-2.891751818167857E-5</v>
      </c>
      <c r="L250" s="401">
        <v>-6.7071361060557533E-5</v>
      </c>
      <c r="M250" s="401">
        <v>-8.6294896698035307E-5</v>
      </c>
      <c r="N250" s="401">
        <v>-3.970651029845783E-5</v>
      </c>
      <c r="O250" s="401">
        <v>-4.8536200889711202E-5</v>
      </c>
      <c r="P250" s="401">
        <v>-1.5550736184488862E-4</v>
      </c>
      <c r="Q250" s="402">
        <v>-3.7098535651879598E-5</v>
      </c>
    </row>
    <row r="251" spans="2:17" x14ac:dyDescent="0.25">
      <c r="B251" s="54">
        <v>6</v>
      </c>
      <c r="C251" s="55">
        <v>3</v>
      </c>
      <c r="D251" s="56" t="s">
        <v>188</v>
      </c>
      <c r="E251" s="400">
        <v>4.5694891984264061E-2</v>
      </c>
      <c r="F251" s="401">
        <v>0.22230176975329718</v>
      </c>
      <c r="G251" s="401">
        <v>0.31618407368659979</v>
      </c>
      <c r="H251" s="401">
        <v>0.29247248272101078</v>
      </c>
      <c r="I251" s="401">
        <v>0.23692268232504526</v>
      </c>
      <c r="J251" s="401">
        <v>0.32649667163689938</v>
      </c>
      <c r="K251" s="401">
        <v>0.41982170144716902</v>
      </c>
      <c r="L251" s="401">
        <v>0.76550537943840047</v>
      </c>
      <c r="M251" s="401">
        <v>1.0564448118209842</v>
      </c>
      <c r="N251" s="401">
        <v>0.35091018080711373</v>
      </c>
      <c r="O251" s="401">
        <v>0.50058913032213848</v>
      </c>
      <c r="P251" s="401">
        <v>0.90860800743103054</v>
      </c>
      <c r="Q251" s="402">
        <v>0.33689339225863424</v>
      </c>
    </row>
    <row r="252" spans="2:17" x14ac:dyDescent="0.25">
      <c r="B252" s="54">
        <v>6</v>
      </c>
      <c r="C252" s="55">
        <v>3</v>
      </c>
      <c r="D252" s="56" t="s">
        <v>189</v>
      </c>
      <c r="E252" s="400">
        <v>3.4145136177829238E-4</v>
      </c>
      <c r="F252" s="401">
        <v>-1.1359591025456787E-3</v>
      </c>
      <c r="G252" s="401">
        <v>-1.667360128963661E-3</v>
      </c>
      <c r="H252" s="401">
        <v>-1.2583525383898556E-3</v>
      </c>
      <c r="I252" s="401">
        <v>1.4969249687967238E-3</v>
      </c>
      <c r="J252" s="401">
        <v>1.3103220863636572E-3</v>
      </c>
      <c r="K252" s="401">
        <v>1.9338283493894671E-3</v>
      </c>
      <c r="L252" s="401">
        <v>6.8829657441900451E-3</v>
      </c>
      <c r="M252" s="401">
        <v>1.2968370547661373E-2</v>
      </c>
      <c r="N252" s="401">
        <v>2.0573204839146211E-3</v>
      </c>
      <c r="O252" s="401">
        <v>6.2826259558109981E-3</v>
      </c>
      <c r="P252" s="401">
        <v>-6.9449718089283519E-4</v>
      </c>
      <c r="Q252" s="402">
        <v>3.0241733311625022E-4</v>
      </c>
    </row>
    <row r="253" spans="2:17" x14ac:dyDescent="0.25">
      <c r="B253" s="54">
        <v>6</v>
      </c>
      <c r="C253" s="55">
        <v>3</v>
      </c>
      <c r="D253" s="56" t="s">
        <v>190</v>
      </c>
      <c r="E253" s="400">
        <v>1.1039344433234854E-4</v>
      </c>
      <c r="F253" s="401">
        <v>6.132620649460036E-4</v>
      </c>
      <c r="G253" s="401">
        <v>9.3301608376986588E-4</v>
      </c>
      <c r="H253" s="401">
        <v>1.3424527716317111E-3</v>
      </c>
      <c r="I253" s="401">
        <v>1.0624392162183515E-3</v>
      </c>
      <c r="J253" s="401">
        <v>1.2158872494539205E-3</v>
      </c>
      <c r="K253" s="401">
        <v>1.2261971206098186E-3</v>
      </c>
      <c r="L253" s="401">
        <v>2.0607365230163547E-3</v>
      </c>
      <c r="M253" s="401">
        <v>2.3600972650490207E-3</v>
      </c>
      <c r="N253" s="401">
        <v>1.394934739509385E-3</v>
      </c>
      <c r="O253" s="401">
        <v>1.4802552412300964E-3</v>
      </c>
      <c r="P253" s="401">
        <v>3.2484191871467506E-3</v>
      </c>
      <c r="Q253" s="402">
        <v>1.1315391212918895E-3</v>
      </c>
    </row>
    <row r="254" spans="2:17" x14ac:dyDescent="0.25">
      <c r="B254" s="54">
        <v>6</v>
      </c>
      <c r="C254" s="55">
        <v>3</v>
      </c>
      <c r="D254" s="56" t="s">
        <v>191</v>
      </c>
      <c r="E254" s="400">
        <v>-3.7150120105024224E-6</v>
      </c>
      <c r="F254" s="401">
        <v>-1.6688349314479757E-5</v>
      </c>
      <c r="G254" s="401">
        <v>-2.5459692582615459E-5</v>
      </c>
      <c r="H254" s="401">
        <v>-3.9817164735267997E-5</v>
      </c>
      <c r="I254" s="401">
        <v>-3.2747103583006908E-5</v>
      </c>
      <c r="J254" s="401">
        <v>-3.7705682061768988E-5</v>
      </c>
      <c r="K254" s="401">
        <v>-3.6360059156377135E-5</v>
      </c>
      <c r="L254" s="401">
        <v>-6.1949890138756676E-5</v>
      </c>
      <c r="M254" s="401">
        <v>-7.4201782336046223E-5</v>
      </c>
      <c r="N254" s="401">
        <v>-4.3441285324958131E-5</v>
      </c>
      <c r="O254" s="401">
        <v>-4.7747615982417318E-5</v>
      </c>
      <c r="P254" s="401">
        <v>-1.0038800855987113E-4</v>
      </c>
      <c r="Q254" s="402">
        <v>-3.345710190940034E-5</v>
      </c>
    </row>
    <row r="255" spans="2:17" x14ac:dyDescent="0.25">
      <c r="B255" s="54">
        <v>7</v>
      </c>
      <c r="C255" s="55">
        <v>1</v>
      </c>
      <c r="D255" s="56" t="s">
        <v>188</v>
      </c>
      <c r="E255" s="400">
        <v>6.5625555316607145E-2</v>
      </c>
      <c r="F255" s="401">
        <v>0.23413065175215403</v>
      </c>
      <c r="G255" s="401">
        <v>0.32385511497656511</v>
      </c>
      <c r="H255" s="401">
        <v>0.29416515330473592</v>
      </c>
      <c r="I255" s="401">
        <v>0.25556528568267828</v>
      </c>
      <c r="J255" s="401">
        <v>0.34825791120529193</v>
      </c>
      <c r="K255" s="401">
        <v>0.45704613824685414</v>
      </c>
      <c r="L255" s="401">
        <v>0.91697504123051976</v>
      </c>
      <c r="M255" s="401">
        <v>1.2235940456390388</v>
      </c>
      <c r="N255" s="401">
        <v>0.37059963345527658</v>
      </c>
      <c r="O255" s="401">
        <v>0.45436438520749411</v>
      </c>
      <c r="P255" s="401">
        <v>0.77935256759325688</v>
      </c>
      <c r="Q255" s="402">
        <v>0.35120234265923511</v>
      </c>
    </row>
    <row r="256" spans="2:17" x14ac:dyDescent="0.25">
      <c r="B256" s="54">
        <v>7</v>
      </c>
      <c r="C256" s="55">
        <v>1</v>
      </c>
      <c r="D256" s="56" t="s">
        <v>189</v>
      </c>
      <c r="E256" s="400">
        <v>-1.8912587364051226E-4</v>
      </c>
      <c r="F256" s="401">
        <v>-4.0030510258146747E-3</v>
      </c>
      <c r="G256" s="401">
        <v>-5.5855887492636883E-3</v>
      </c>
      <c r="H256" s="401">
        <v>-6.2476148526383534E-3</v>
      </c>
      <c r="I256" s="401">
        <v>-3.0139644963850742E-3</v>
      </c>
      <c r="J256" s="401">
        <v>-5.2070696118180406E-3</v>
      </c>
      <c r="K256" s="401">
        <v>-4.9651188757082456E-3</v>
      </c>
      <c r="L256" s="401">
        <v>-2.4912976591088792E-2</v>
      </c>
      <c r="M256" s="401">
        <v>-3.6194590444979906E-2</v>
      </c>
      <c r="N256" s="401">
        <v>-1.9199843312199193E-3</v>
      </c>
      <c r="O256" s="401">
        <v>1.9123161786178552E-3</v>
      </c>
      <c r="P256" s="401">
        <v>-1.7193377209015474E-2</v>
      </c>
      <c r="Q256" s="402">
        <v>-5.8570476935158973E-3</v>
      </c>
    </row>
    <row r="257" spans="2:17" x14ac:dyDescent="0.25">
      <c r="B257" s="54">
        <v>7</v>
      </c>
      <c r="C257" s="55">
        <v>1</v>
      </c>
      <c r="D257" s="56" t="s">
        <v>190</v>
      </c>
      <c r="E257" s="400">
        <v>-6.2329240907461547E-5</v>
      </c>
      <c r="F257" s="401">
        <v>7.5697351577051384E-4</v>
      </c>
      <c r="G257" s="401">
        <v>1.2258739060872102E-3</v>
      </c>
      <c r="H257" s="401">
        <v>1.752078368183063E-3</v>
      </c>
      <c r="I257" s="401">
        <v>1.2798748893059785E-3</v>
      </c>
      <c r="J257" s="401">
        <v>1.5645372466399161E-3</v>
      </c>
      <c r="K257" s="401">
        <v>1.284000040455298E-3</v>
      </c>
      <c r="L257" s="401">
        <v>3.6269322228737414E-3</v>
      </c>
      <c r="M257" s="401">
        <v>5.5286499448033866E-3</v>
      </c>
      <c r="N257" s="401">
        <v>1.4332118281326111E-3</v>
      </c>
      <c r="O257" s="401">
        <v>1.562182398595456E-3</v>
      </c>
      <c r="P257" s="401">
        <v>4.8832229853093285E-3</v>
      </c>
      <c r="Q257" s="402">
        <v>1.4807639921861225E-3</v>
      </c>
    </row>
    <row r="258" spans="2:17" x14ac:dyDescent="0.25">
      <c r="B258" s="54">
        <v>7</v>
      </c>
      <c r="C258" s="55">
        <v>1</v>
      </c>
      <c r="D258" s="56" t="s">
        <v>191</v>
      </c>
      <c r="E258" s="400">
        <v>3.8879193371363094E-6</v>
      </c>
      <c r="F258" s="401">
        <v>-1.8235427351334178E-5</v>
      </c>
      <c r="G258" s="401">
        <v>-3.1419565123972695E-5</v>
      </c>
      <c r="H258" s="401">
        <v>-4.8684256575370715E-5</v>
      </c>
      <c r="I258" s="401">
        <v>-3.4995501529549891E-5</v>
      </c>
      <c r="J258" s="401">
        <v>-4.1901973375027482E-5</v>
      </c>
      <c r="K258" s="401">
        <v>-2.813499157476907E-5</v>
      </c>
      <c r="L258" s="401">
        <v>-8.2929670034959311E-5</v>
      </c>
      <c r="M258" s="401">
        <v>-1.3658646913860447E-4</v>
      </c>
      <c r="N258" s="401">
        <v>-3.8738979031017126E-5</v>
      </c>
      <c r="O258" s="401">
        <v>-4.2969101885074665E-5</v>
      </c>
      <c r="P258" s="401">
        <v>-1.4166821376149216E-4</v>
      </c>
      <c r="Q258" s="402">
        <v>-3.8536500128560627E-5</v>
      </c>
    </row>
    <row r="259" spans="2:17" x14ac:dyDescent="0.25">
      <c r="B259" s="54">
        <v>7</v>
      </c>
      <c r="C259" s="55">
        <v>2</v>
      </c>
      <c r="D259" s="56" t="s">
        <v>188</v>
      </c>
      <c r="E259" s="400">
        <v>5.2413870021700851E-2</v>
      </c>
      <c r="F259" s="401">
        <v>0.22005590001742048</v>
      </c>
      <c r="G259" s="401">
        <v>0.30996762911478692</v>
      </c>
      <c r="H259" s="401">
        <v>0.27854682703812939</v>
      </c>
      <c r="I259" s="401">
        <v>0.23464999198913583</v>
      </c>
      <c r="J259" s="401">
        <v>0.32095860441525792</v>
      </c>
      <c r="K259" s="401">
        <v>0.40617492496967311</v>
      </c>
      <c r="L259" s="401">
        <v>0.76516376932462071</v>
      </c>
      <c r="M259" s="401">
        <v>1.0113650957743325</v>
      </c>
      <c r="N259" s="401">
        <v>0.34228290021419538</v>
      </c>
      <c r="O259" s="401">
        <v>0.43161433339118971</v>
      </c>
      <c r="P259" s="401">
        <v>0.75877247055371644</v>
      </c>
      <c r="Q259" s="402">
        <v>0.32398614626750361</v>
      </c>
    </row>
    <row r="260" spans="2:17" x14ac:dyDescent="0.25">
      <c r="B260" s="54">
        <v>7</v>
      </c>
      <c r="C260" s="55">
        <v>2</v>
      </c>
      <c r="D260" s="56" t="s">
        <v>189</v>
      </c>
      <c r="E260" s="400">
        <v>9.5572077908727794E-4</v>
      </c>
      <c r="F260" s="401">
        <v>-2.0148911207289173E-3</v>
      </c>
      <c r="G260" s="401">
        <v>-3.2792587206636153E-3</v>
      </c>
      <c r="H260" s="401">
        <v>-3.2735093762315702E-3</v>
      </c>
      <c r="I260" s="401">
        <v>5.4006439452005714E-5</v>
      </c>
      <c r="J260" s="401">
        <v>-9.9815430572632469E-4</v>
      </c>
      <c r="K260" s="401">
        <v>2.1520189697787E-3</v>
      </c>
      <c r="L260" s="401">
        <v>7.4041008416679056E-4</v>
      </c>
      <c r="M260" s="401">
        <v>7.0329271227977663E-3</v>
      </c>
      <c r="N260" s="401">
        <v>1.9662880657852718E-3</v>
      </c>
      <c r="O260" s="401">
        <v>5.4385173246669569E-3</v>
      </c>
      <c r="P260" s="401">
        <v>-1.1364942253006575E-2</v>
      </c>
      <c r="Q260" s="402">
        <v>-1.3366347015238719E-3</v>
      </c>
    </row>
    <row r="261" spans="2:17" x14ac:dyDescent="0.25">
      <c r="B261" s="54">
        <v>7</v>
      </c>
      <c r="C261" s="55">
        <v>2</v>
      </c>
      <c r="D261" s="56" t="s">
        <v>190</v>
      </c>
      <c r="E261" s="400">
        <v>-4.2419292310596005E-5</v>
      </c>
      <c r="F261" s="401">
        <v>6.935691443599746E-4</v>
      </c>
      <c r="G261" s="401">
        <v>1.1246925814724204E-3</v>
      </c>
      <c r="H261" s="401">
        <v>1.6037350116701442E-3</v>
      </c>
      <c r="I261" s="401">
        <v>1.1730762784714491E-3</v>
      </c>
      <c r="J261" s="401">
        <v>1.4102749465715084E-3</v>
      </c>
      <c r="K261" s="401">
        <v>1.0729565356786428E-3</v>
      </c>
      <c r="L261" s="401">
        <v>2.4115286750115458E-3</v>
      </c>
      <c r="M261" s="401">
        <v>2.9134519207171966E-3</v>
      </c>
      <c r="N261" s="401">
        <v>1.3308285459841349E-3</v>
      </c>
      <c r="O261" s="401">
        <v>1.5763812253386281E-3</v>
      </c>
      <c r="P261" s="401">
        <v>4.9895552141127446E-3</v>
      </c>
      <c r="Q261" s="402">
        <v>1.2973070437726898E-3</v>
      </c>
    </row>
    <row r="262" spans="2:17" x14ac:dyDescent="0.25">
      <c r="B262" s="54">
        <v>7</v>
      </c>
      <c r="C262" s="55">
        <v>2</v>
      </c>
      <c r="D262" s="56" t="s">
        <v>191</v>
      </c>
      <c r="E262" s="400">
        <v>1.6072609591375308E-6</v>
      </c>
      <c r="F262" s="401">
        <v>-1.83032423969888E-5</v>
      </c>
      <c r="G262" s="401">
        <v>-3.0396975107959982E-5</v>
      </c>
      <c r="H262" s="401">
        <v>-4.666587070105344E-5</v>
      </c>
      <c r="I262" s="401">
        <v>-3.4703435296686368E-5</v>
      </c>
      <c r="J262" s="401">
        <v>-4.129233410424195E-5</v>
      </c>
      <c r="K262" s="401">
        <v>-2.891751818167857E-5</v>
      </c>
      <c r="L262" s="401">
        <v>-6.7071361060557533E-5</v>
      </c>
      <c r="M262" s="401">
        <v>-8.6294896698035307E-5</v>
      </c>
      <c r="N262" s="401">
        <v>-3.970651029845783E-5</v>
      </c>
      <c r="O262" s="401">
        <v>-4.8536200889711202E-5</v>
      </c>
      <c r="P262" s="401">
        <v>-1.5550736184488862E-4</v>
      </c>
      <c r="Q262" s="402">
        <v>-3.7098535651879598E-5</v>
      </c>
    </row>
    <row r="263" spans="2:17" x14ac:dyDescent="0.25">
      <c r="B263" s="54">
        <v>7</v>
      </c>
      <c r="C263" s="55">
        <v>3</v>
      </c>
      <c r="D263" s="56" t="s">
        <v>188</v>
      </c>
      <c r="E263" s="400">
        <v>4.5694891984264061E-2</v>
      </c>
      <c r="F263" s="401">
        <v>0.22230176975329718</v>
      </c>
      <c r="G263" s="401">
        <v>0.31618407368659979</v>
      </c>
      <c r="H263" s="401">
        <v>0.29247248272101078</v>
      </c>
      <c r="I263" s="401">
        <v>0.23692268232504526</v>
      </c>
      <c r="J263" s="401">
        <v>0.32649667163689938</v>
      </c>
      <c r="K263" s="401">
        <v>0.41982170144716902</v>
      </c>
      <c r="L263" s="401">
        <v>0.76550537943840047</v>
      </c>
      <c r="M263" s="401">
        <v>1.0564448118209842</v>
      </c>
      <c r="N263" s="401">
        <v>0.35091018080711373</v>
      </c>
      <c r="O263" s="401">
        <v>0.50058913032213848</v>
      </c>
      <c r="P263" s="401">
        <v>0.90860800743103054</v>
      </c>
      <c r="Q263" s="402">
        <v>0.33689339225863424</v>
      </c>
    </row>
    <row r="264" spans="2:17" x14ac:dyDescent="0.25">
      <c r="B264" s="54">
        <v>7</v>
      </c>
      <c r="C264" s="55">
        <v>3</v>
      </c>
      <c r="D264" s="56" t="s">
        <v>189</v>
      </c>
      <c r="E264" s="400">
        <v>3.4145136177829238E-4</v>
      </c>
      <c r="F264" s="401">
        <v>-1.1359591025456787E-3</v>
      </c>
      <c r="G264" s="401">
        <v>-1.667360128963661E-3</v>
      </c>
      <c r="H264" s="401">
        <v>-1.2583525383898556E-3</v>
      </c>
      <c r="I264" s="401">
        <v>1.4969249687967238E-3</v>
      </c>
      <c r="J264" s="401">
        <v>1.3103220863636572E-3</v>
      </c>
      <c r="K264" s="401">
        <v>1.9338283493894671E-3</v>
      </c>
      <c r="L264" s="401">
        <v>6.8829657441900451E-3</v>
      </c>
      <c r="M264" s="401">
        <v>1.2968370547661373E-2</v>
      </c>
      <c r="N264" s="401">
        <v>2.0573204839146211E-3</v>
      </c>
      <c r="O264" s="401">
        <v>6.2826259558109981E-3</v>
      </c>
      <c r="P264" s="401">
        <v>-6.9449718089283519E-4</v>
      </c>
      <c r="Q264" s="402">
        <v>3.0241733311625022E-4</v>
      </c>
    </row>
    <row r="265" spans="2:17" x14ac:dyDescent="0.25">
      <c r="B265" s="54">
        <v>7</v>
      </c>
      <c r="C265" s="55">
        <v>3</v>
      </c>
      <c r="D265" s="56" t="s">
        <v>190</v>
      </c>
      <c r="E265" s="400">
        <v>1.1039344433234854E-4</v>
      </c>
      <c r="F265" s="401">
        <v>6.132620649460036E-4</v>
      </c>
      <c r="G265" s="401">
        <v>9.3301608376986588E-4</v>
      </c>
      <c r="H265" s="401">
        <v>1.3424527716317111E-3</v>
      </c>
      <c r="I265" s="401">
        <v>1.0624392162183515E-3</v>
      </c>
      <c r="J265" s="401">
        <v>1.2158872494539205E-3</v>
      </c>
      <c r="K265" s="401">
        <v>1.2261971206098186E-3</v>
      </c>
      <c r="L265" s="401">
        <v>2.0607365230163547E-3</v>
      </c>
      <c r="M265" s="401">
        <v>2.3600972650490207E-3</v>
      </c>
      <c r="N265" s="401">
        <v>1.394934739509385E-3</v>
      </c>
      <c r="O265" s="401">
        <v>1.4802552412300964E-3</v>
      </c>
      <c r="P265" s="401">
        <v>3.2484191871467506E-3</v>
      </c>
      <c r="Q265" s="402">
        <v>1.1315391212918895E-3</v>
      </c>
    </row>
    <row r="266" spans="2:17" x14ac:dyDescent="0.25">
      <c r="B266" s="78">
        <v>7</v>
      </c>
      <c r="C266" s="79">
        <v>3</v>
      </c>
      <c r="D266" s="147" t="s">
        <v>191</v>
      </c>
      <c r="E266" s="403">
        <v>-3.7150120105024224E-6</v>
      </c>
      <c r="F266" s="404">
        <v>-1.6688349314479757E-5</v>
      </c>
      <c r="G266" s="404">
        <v>-2.5459692582615459E-5</v>
      </c>
      <c r="H266" s="404">
        <v>-3.9817164735267997E-5</v>
      </c>
      <c r="I266" s="404">
        <v>-3.2747103583006908E-5</v>
      </c>
      <c r="J266" s="404">
        <v>-3.7705682061768988E-5</v>
      </c>
      <c r="K266" s="404">
        <v>-3.6360059156377135E-5</v>
      </c>
      <c r="L266" s="404">
        <v>-6.1949890138756676E-5</v>
      </c>
      <c r="M266" s="404">
        <v>-7.4201782336046223E-5</v>
      </c>
      <c r="N266" s="404">
        <v>-4.3441285324958131E-5</v>
      </c>
      <c r="O266" s="404">
        <v>-4.7747615982417318E-5</v>
      </c>
      <c r="P266" s="404">
        <v>-1.0038800855987113E-4</v>
      </c>
      <c r="Q266" s="405">
        <v>-3.345710190940034E-5</v>
      </c>
    </row>
    <row r="268" spans="2:17" x14ac:dyDescent="0.25">
      <c r="B268" s="100" t="s">
        <v>314</v>
      </c>
    </row>
    <row r="269" spans="2:17" x14ac:dyDescent="0.25">
      <c r="B269" s="85" t="s">
        <v>36</v>
      </c>
      <c r="C269" s="29" t="s">
        <v>136</v>
      </c>
      <c r="D269" s="32"/>
      <c r="E269" s="26"/>
      <c r="F269" s="28"/>
      <c r="G269" s="28"/>
      <c r="H269" s="28"/>
      <c r="I269" s="28" t="s">
        <v>182</v>
      </c>
      <c r="J269" s="28"/>
      <c r="K269" s="28"/>
      <c r="L269" s="28"/>
      <c r="M269" s="28"/>
      <c r="N269" s="28"/>
      <c r="O269" s="28"/>
      <c r="P269" s="28"/>
      <c r="Q269" s="27" t="s">
        <v>183</v>
      </c>
    </row>
    <row r="270" spans="2:17" x14ac:dyDescent="0.25">
      <c r="B270" s="86" t="s">
        <v>312</v>
      </c>
      <c r="C270" s="45" t="s">
        <v>34</v>
      </c>
      <c r="D270" s="49"/>
      <c r="E270" s="40" t="s">
        <v>162</v>
      </c>
      <c r="F270" s="43" t="s">
        <v>93</v>
      </c>
      <c r="G270" s="43" t="s">
        <v>95</v>
      </c>
      <c r="H270" s="43" t="s">
        <v>163</v>
      </c>
      <c r="I270" s="43" t="s">
        <v>184</v>
      </c>
      <c r="J270" s="43" t="s">
        <v>165</v>
      </c>
      <c r="K270" s="43" t="s">
        <v>95</v>
      </c>
      <c r="L270" s="43" t="s">
        <v>166</v>
      </c>
      <c r="M270" s="43" t="s">
        <v>98</v>
      </c>
      <c r="N270" s="43" t="s">
        <v>93</v>
      </c>
      <c r="O270" s="43" t="s">
        <v>95</v>
      </c>
      <c r="P270" s="43" t="s">
        <v>96</v>
      </c>
      <c r="Q270" s="41" t="s">
        <v>92</v>
      </c>
    </row>
    <row r="271" spans="2:17" x14ac:dyDescent="0.25">
      <c r="B271" s="87" t="s">
        <v>343</v>
      </c>
      <c r="C271" s="67" t="s">
        <v>63</v>
      </c>
      <c r="D271" s="82" t="s">
        <v>185</v>
      </c>
      <c r="E271" s="72" t="s">
        <v>167</v>
      </c>
      <c r="F271" s="65" t="s">
        <v>90</v>
      </c>
      <c r="G271" s="65" t="s">
        <v>90</v>
      </c>
      <c r="H271" s="65" t="s">
        <v>92</v>
      </c>
      <c r="I271" s="65" t="s">
        <v>168</v>
      </c>
      <c r="J271" s="65" t="s">
        <v>97</v>
      </c>
      <c r="K271" s="65" t="s">
        <v>97</v>
      </c>
      <c r="L271" s="65" t="s">
        <v>97</v>
      </c>
      <c r="M271" s="65" t="s">
        <v>97</v>
      </c>
      <c r="N271" s="65" t="s">
        <v>94</v>
      </c>
      <c r="O271" s="65" t="s">
        <v>94</v>
      </c>
      <c r="P271" s="65" t="s">
        <v>94</v>
      </c>
      <c r="Q271" s="73" t="s">
        <v>186</v>
      </c>
    </row>
    <row r="272" spans="2:17" x14ac:dyDescent="0.25">
      <c r="B272" s="54">
        <v>1</v>
      </c>
      <c r="C272" s="55">
        <v>1</v>
      </c>
      <c r="D272" s="56" t="s">
        <v>192</v>
      </c>
      <c r="E272" s="400">
        <v>84.722012456258085</v>
      </c>
      <c r="F272" s="401">
        <v>91.220412826538066</v>
      </c>
      <c r="G272" s="401">
        <v>87.618585968017499</v>
      </c>
      <c r="H272" s="401">
        <v>93.101540501912424</v>
      </c>
      <c r="I272" s="401">
        <v>91.613874944051076</v>
      </c>
      <c r="J272" s="401">
        <v>84.386179860432946</v>
      </c>
      <c r="K272" s="401">
        <v>71.291622924804642</v>
      </c>
      <c r="L272" s="401">
        <v>58.310626475016235</v>
      </c>
      <c r="M272" s="401">
        <v>76.559296735127703</v>
      </c>
      <c r="N272" s="401">
        <v>82.170229085286394</v>
      </c>
      <c r="O272" s="401">
        <v>82.039525731404566</v>
      </c>
      <c r="P272" s="401">
        <v>58.714425404866489</v>
      </c>
      <c r="Q272" s="402">
        <v>85.831609848022367</v>
      </c>
    </row>
    <row r="273" spans="2:17" x14ac:dyDescent="0.25">
      <c r="B273" s="54">
        <v>1</v>
      </c>
      <c r="C273" s="55">
        <v>1</v>
      </c>
      <c r="D273" s="56" t="s">
        <v>193</v>
      </c>
      <c r="E273" s="400">
        <v>2.7953940219627262</v>
      </c>
      <c r="F273" s="401">
        <v>2.0832286125574431</v>
      </c>
      <c r="G273" s="401">
        <v>2.5703810478424072</v>
      </c>
      <c r="H273" s="401">
        <v>1.8723200358618357</v>
      </c>
      <c r="I273" s="401">
        <v>1.8442625966105468</v>
      </c>
      <c r="J273" s="401">
        <v>1.8261000267182974</v>
      </c>
      <c r="K273" s="401">
        <v>3.4980123678472816</v>
      </c>
      <c r="L273" s="401">
        <v>4.3244630043693828</v>
      </c>
      <c r="M273" s="401">
        <v>1.7878725354580889</v>
      </c>
      <c r="N273" s="401">
        <v>1.9942137707826793</v>
      </c>
      <c r="O273" s="401">
        <v>1.751141651527049</v>
      </c>
      <c r="P273" s="401">
        <v>4.3086143043861993</v>
      </c>
      <c r="Q273" s="402">
        <v>2.3439585300036683</v>
      </c>
    </row>
    <row r="274" spans="2:17" x14ac:dyDescent="0.25">
      <c r="B274" s="54">
        <v>1</v>
      </c>
      <c r="C274" s="55">
        <v>1</v>
      </c>
      <c r="D274" s="56" t="s">
        <v>194</v>
      </c>
      <c r="E274" s="400">
        <v>-0.72491792031935098</v>
      </c>
      <c r="F274" s="401">
        <v>-0.71549374740440619</v>
      </c>
      <c r="G274" s="401">
        <v>-0.73225537658015816</v>
      </c>
      <c r="H274" s="401">
        <v>-0.71226506133179635</v>
      </c>
      <c r="I274" s="401">
        <v>-0.70008290064084833</v>
      </c>
      <c r="J274" s="401">
        <v>-0.61417769663261701</v>
      </c>
      <c r="K274" s="401">
        <v>-0.66235335779079052</v>
      </c>
      <c r="L274" s="401">
        <v>-0.66286667688187551</v>
      </c>
      <c r="M274" s="401">
        <v>-0.63647438762905062</v>
      </c>
      <c r="N274" s="401">
        <v>-0.60899515807767757</v>
      </c>
      <c r="O274" s="401">
        <v>-0.57846957820278955</v>
      </c>
      <c r="P274" s="401">
        <v>-0.6657592438873442</v>
      </c>
      <c r="Q274" s="402">
        <v>-0.69233011458025795</v>
      </c>
    </row>
    <row r="275" spans="2:17" x14ac:dyDescent="0.25">
      <c r="B275" s="54">
        <v>1</v>
      </c>
      <c r="C275" s="55">
        <v>1</v>
      </c>
      <c r="D275" s="56" t="s">
        <v>195</v>
      </c>
      <c r="E275" s="400">
        <v>2.271238314429273E-2</v>
      </c>
      <c r="F275" s="401">
        <v>2.3241577170667705E-2</v>
      </c>
      <c r="G275" s="401">
        <v>2.32985433720765E-2</v>
      </c>
      <c r="H275" s="401">
        <v>2.3381757662105509E-2</v>
      </c>
      <c r="I275" s="401">
        <v>2.2968019083107569E-2</v>
      </c>
      <c r="J275" s="401">
        <v>1.9558022720645194E-2</v>
      </c>
      <c r="K275" s="401">
        <v>1.9372224622487885E-2</v>
      </c>
      <c r="L275" s="401">
        <v>1.8547659338956322E-2</v>
      </c>
      <c r="M275" s="401">
        <v>2.1066269720814129E-2</v>
      </c>
      <c r="N275" s="401">
        <v>1.9143012668517794E-2</v>
      </c>
      <c r="O275" s="401">
        <v>1.8230167580095536E-2</v>
      </c>
      <c r="P275" s="401">
        <v>1.86843935055796E-2</v>
      </c>
      <c r="Q275" s="402">
        <v>2.2023569437173738E-2</v>
      </c>
    </row>
    <row r="276" spans="2:17" x14ac:dyDescent="0.25">
      <c r="B276" s="54">
        <v>1</v>
      </c>
      <c r="C276" s="55">
        <v>2</v>
      </c>
      <c r="D276" s="56" t="s">
        <v>192</v>
      </c>
      <c r="E276" s="400">
        <v>66.308051045735667</v>
      </c>
      <c r="F276" s="401">
        <v>67.126623535156199</v>
      </c>
      <c r="G276" s="401">
        <v>67.425445683797136</v>
      </c>
      <c r="H276" s="401">
        <v>67.253537368774374</v>
      </c>
      <c r="I276" s="401">
        <v>67.198974482218404</v>
      </c>
      <c r="J276" s="401">
        <v>64.990718587239513</v>
      </c>
      <c r="K276" s="401">
        <v>65.9936719258626</v>
      </c>
      <c r="L276" s="401">
        <v>57.64972381591793</v>
      </c>
      <c r="M276" s="401">
        <v>65.283810997009198</v>
      </c>
      <c r="N276" s="401">
        <v>64.630163955688431</v>
      </c>
      <c r="O276" s="401">
        <v>60.827687072753875</v>
      </c>
      <c r="P276" s="401">
        <v>57.213939539591408</v>
      </c>
      <c r="Q276" s="402">
        <v>66.043537270863823</v>
      </c>
    </row>
    <row r="277" spans="2:17" x14ac:dyDescent="0.25">
      <c r="B277" s="54">
        <v>1</v>
      </c>
      <c r="C277" s="55">
        <v>2</v>
      </c>
      <c r="D277" s="56" t="s">
        <v>193</v>
      </c>
      <c r="E277" s="400">
        <v>3.9046988705840366</v>
      </c>
      <c r="F277" s="401">
        <v>3.935700600334366</v>
      </c>
      <c r="G277" s="401">
        <v>3.9519431670692184</v>
      </c>
      <c r="H277" s="401">
        <v>3.9463805804071179</v>
      </c>
      <c r="I277" s="401">
        <v>3.8786463967199651</v>
      </c>
      <c r="J277" s="401">
        <v>3.0282833322408118</v>
      </c>
      <c r="K277" s="401">
        <v>3.594526708450267</v>
      </c>
      <c r="L277" s="401">
        <v>4.2950072803512214</v>
      </c>
      <c r="M277" s="401">
        <v>3.1858421188968213</v>
      </c>
      <c r="N277" s="401">
        <v>2.9706144310655667</v>
      </c>
      <c r="O277" s="401">
        <v>2.5761450202129805</v>
      </c>
      <c r="P277" s="401">
        <v>4.1381307952424526</v>
      </c>
      <c r="Q277" s="402">
        <v>3.7398946623702178</v>
      </c>
    </row>
    <row r="278" spans="2:17" x14ac:dyDescent="0.25">
      <c r="B278" s="54">
        <v>1</v>
      </c>
      <c r="C278" s="55">
        <v>2</v>
      </c>
      <c r="D278" s="56" t="s">
        <v>194</v>
      </c>
      <c r="E278" s="400">
        <v>-0.64335308819661929</v>
      </c>
      <c r="F278" s="401">
        <v>-0.65650550468818425</v>
      </c>
      <c r="G278" s="401">
        <v>-0.66190428389258182</v>
      </c>
      <c r="H278" s="401">
        <v>-0.65925503221703119</v>
      </c>
      <c r="I278" s="401">
        <v>-0.65905400923082136</v>
      </c>
      <c r="J278" s="401">
        <v>-0.5398065565905108</v>
      </c>
      <c r="K278" s="401">
        <v>-0.61314614725001859</v>
      </c>
      <c r="L278" s="401">
        <v>-0.65128240551981964</v>
      </c>
      <c r="M278" s="401">
        <v>-0.6707997883394341</v>
      </c>
      <c r="N278" s="401">
        <v>-0.52929504879149059</v>
      </c>
      <c r="O278" s="401">
        <v>-0.44550081288620075</v>
      </c>
      <c r="P278" s="401">
        <v>-0.62694531109505436</v>
      </c>
      <c r="Q278" s="402">
        <v>-0.63035936522872893</v>
      </c>
    </row>
    <row r="279" spans="2:17" x14ac:dyDescent="0.25">
      <c r="B279" s="54">
        <v>1</v>
      </c>
      <c r="C279" s="55">
        <v>2</v>
      </c>
      <c r="D279" s="56" t="s">
        <v>195</v>
      </c>
      <c r="E279" s="400">
        <v>1.804577674435941E-2</v>
      </c>
      <c r="F279" s="401">
        <v>1.8531078132623505E-2</v>
      </c>
      <c r="G279" s="401">
        <v>1.8725998566515661E-2</v>
      </c>
      <c r="H279" s="401">
        <v>1.8627382751204045E-2</v>
      </c>
      <c r="I279" s="401">
        <v>1.8743488986823785E-2</v>
      </c>
      <c r="J279" s="401">
        <v>1.5149401432799151E-2</v>
      </c>
      <c r="K279" s="401">
        <v>1.729409965138709E-2</v>
      </c>
      <c r="L279" s="401">
        <v>1.8117573340919124E-2</v>
      </c>
      <c r="M279" s="401">
        <v>2.0641444585262247E-2</v>
      </c>
      <c r="N279" s="401">
        <v>1.4808715918125279E-2</v>
      </c>
      <c r="O279" s="401">
        <v>1.2044884015537565E-2</v>
      </c>
      <c r="P279" s="401">
        <v>1.7337905684458574E-2</v>
      </c>
      <c r="Q279" s="402">
        <v>1.7790824088739093E-2</v>
      </c>
    </row>
    <row r="280" spans="2:17" x14ac:dyDescent="0.25">
      <c r="B280" s="54">
        <v>1</v>
      </c>
      <c r="C280" s="55">
        <v>3</v>
      </c>
      <c r="D280" s="56" t="s">
        <v>192</v>
      </c>
      <c r="E280" s="400">
        <v>48.58130544026691</v>
      </c>
      <c r="F280" s="401">
        <v>48.606655629475902</v>
      </c>
      <c r="G280" s="401">
        <v>48.627354303995752</v>
      </c>
      <c r="H280" s="401">
        <v>48.600014623006174</v>
      </c>
      <c r="I280" s="401">
        <v>48.434063339233383</v>
      </c>
      <c r="J280" s="401">
        <v>47.617435201009101</v>
      </c>
      <c r="K280" s="401">
        <v>48.064645894368468</v>
      </c>
      <c r="L280" s="401">
        <v>46.761648559570283</v>
      </c>
      <c r="M280" s="401">
        <v>44.033904202779098</v>
      </c>
      <c r="N280" s="401">
        <v>47.488664627075174</v>
      </c>
      <c r="O280" s="401">
        <v>45.692099634806311</v>
      </c>
      <c r="P280" s="401">
        <v>46.364650090535449</v>
      </c>
      <c r="Q280" s="402">
        <v>48.120956495920801</v>
      </c>
    </row>
    <row r="281" spans="2:17" x14ac:dyDescent="0.25">
      <c r="B281" s="54">
        <v>1</v>
      </c>
      <c r="C281" s="55">
        <v>3</v>
      </c>
      <c r="D281" s="56" t="s">
        <v>193</v>
      </c>
      <c r="E281" s="400">
        <v>1.873949974196405</v>
      </c>
      <c r="F281" s="401">
        <v>1.8796854137725962</v>
      </c>
      <c r="G281" s="401">
        <v>1.8885319079182012</v>
      </c>
      <c r="H281" s="401">
        <v>1.8786941089644977</v>
      </c>
      <c r="I281" s="401">
        <v>1.9740945983507348</v>
      </c>
      <c r="J281" s="401">
        <v>1.6295839189649475</v>
      </c>
      <c r="K281" s="401">
        <v>1.8276080277508899</v>
      </c>
      <c r="L281" s="401">
        <v>2.897510963534796</v>
      </c>
      <c r="M281" s="401">
        <v>3.0968959765000843</v>
      </c>
      <c r="N281" s="401">
        <v>1.584645944504937</v>
      </c>
      <c r="O281" s="401">
        <v>1.1487100485599415</v>
      </c>
      <c r="P281" s="401">
        <v>2.5880828092704058</v>
      </c>
      <c r="Q281" s="402">
        <v>1.8867074992032467</v>
      </c>
    </row>
    <row r="282" spans="2:17" x14ac:dyDescent="0.25">
      <c r="B282" s="54">
        <v>1</v>
      </c>
      <c r="C282" s="55">
        <v>3</v>
      </c>
      <c r="D282" s="56" t="s">
        <v>194</v>
      </c>
      <c r="E282" s="400">
        <v>-0.22537316086686857</v>
      </c>
      <c r="F282" s="401">
        <v>-0.22620093294512703</v>
      </c>
      <c r="G282" s="401">
        <v>-0.22730814938222899</v>
      </c>
      <c r="H282" s="401">
        <v>-0.22603354420695299</v>
      </c>
      <c r="I282" s="401">
        <v>-0.24072453080913142</v>
      </c>
      <c r="J282" s="401">
        <v>-0.21260013613667531</v>
      </c>
      <c r="K282" s="401">
        <v>-0.22680915763606013</v>
      </c>
      <c r="L282" s="401">
        <v>-0.36034597661389667</v>
      </c>
      <c r="M282" s="401">
        <v>-0.40699515198216352</v>
      </c>
      <c r="N282" s="401">
        <v>-0.20709981784953957</v>
      </c>
      <c r="O282" s="401">
        <v>-0.15220141410827645</v>
      </c>
      <c r="P282" s="401">
        <v>-0.32108475611760107</v>
      </c>
      <c r="Q282" s="402">
        <v>-0.231535346430221</v>
      </c>
    </row>
    <row r="283" spans="2:17" x14ac:dyDescent="0.25">
      <c r="B283" s="54">
        <v>1</v>
      </c>
      <c r="C283" s="55">
        <v>3</v>
      </c>
      <c r="D283" s="56" t="s">
        <v>195</v>
      </c>
      <c r="E283" s="400">
        <v>4.2987337571850316E-3</v>
      </c>
      <c r="F283" s="401">
        <v>4.3227398404800926E-3</v>
      </c>
      <c r="G283" s="401">
        <v>4.3535511347334264E-3</v>
      </c>
      <c r="H283" s="401">
        <v>4.317649501927999E-3</v>
      </c>
      <c r="I283" s="401">
        <v>4.7825834226867675E-3</v>
      </c>
      <c r="J283" s="401">
        <v>4.3248349414283056E-3</v>
      </c>
      <c r="K283" s="401">
        <v>4.4964703831824621E-3</v>
      </c>
      <c r="L283" s="401">
        <v>8.3102423179585126E-3</v>
      </c>
      <c r="M283" s="401">
        <v>1.0142414858846973E-2</v>
      </c>
      <c r="N283" s="401">
        <v>4.1762799742431234E-3</v>
      </c>
      <c r="O283" s="401">
        <v>2.7193409023862931E-3</v>
      </c>
      <c r="P283" s="401">
        <v>7.1644788577562308E-3</v>
      </c>
      <c r="Q283" s="402">
        <v>4.5787456671026521E-3</v>
      </c>
    </row>
    <row r="284" spans="2:17" x14ac:dyDescent="0.25">
      <c r="B284" s="54">
        <v>2</v>
      </c>
      <c r="C284" s="55">
        <v>1</v>
      </c>
      <c r="D284" s="56" t="s">
        <v>192</v>
      </c>
      <c r="E284" s="400">
        <v>85.156476465860933</v>
      </c>
      <c r="F284" s="401">
        <v>91.65470898946117</v>
      </c>
      <c r="G284" s="401">
        <v>93.565439860025975</v>
      </c>
      <c r="H284" s="401">
        <v>93.535823949177967</v>
      </c>
      <c r="I284" s="401">
        <v>92.048108673095669</v>
      </c>
      <c r="J284" s="401">
        <v>86.824980417887318</v>
      </c>
      <c r="K284" s="401">
        <v>85.997695287068609</v>
      </c>
      <c r="L284" s="401">
        <v>72.642139689127589</v>
      </c>
      <c r="M284" s="401">
        <v>96.582313537597628</v>
      </c>
      <c r="N284" s="401">
        <v>87.061951446533129</v>
      </c>
      <c r="O284" s="401">
        <v>82.473756408691401</v>
      </c>
      <c r="P284" s="401">
        <v>72.395949172973573</v>
      </c>
      <c r="Q284" s="402">
        <v>90.030806915283122</v>
      </c>
    </row>
    <row r="285" spans="2:17" x14ac:dyDescent="0.25">
      <c r="B285" s="54">
        <v>2</v>
      </c>
      <c r="C285" s="55">
        <v>1</v>
      </c>
      <c r="D285" s="56" t="s">
        <v>193</v>
      </c>
      <c r="E285" s="400">
        <v>2.7440717629712243</v>
      </c>
      <c r="F285" s="401">
        <v>2.0319228101906974</v>
      </c>
      <c r="G285" s="401">
        <v>1.8139475879506299</v>
      </c>
      <c r="H285" s="401">
        <v>1.8210200729903907</v>
      </c>
      <c r="I285" s="401">
        <v>1.7929620079597823</v>
      </c>
      <c r="J285" s="401">
        <v>1.546582764401037</v>
      </c>
      <c r="K285" s="401">
        <v>2.2663922409911388</v>
      </c>
      <c r="L285" s="401">
        <v>3.6500009745706836</v>
      </c>
      <c r="M285" s="401">
        <v>-1.7360778481069139</v>
      </c>
      <c r="N285" s="401">
        <v>1.4426368188747063</v>
      </c>
      <c r="O285" s="401">
        <v>1.6996297158283555</v>
      </c>
      <c r="P285" s="401">
        <v>3.6135376249993754</v>
      </c>
      <c r="Q285" s="402">
        <v>1.8930890532584952</v>
      </c>
    </row>
    <row r="286" spans="2:17" x14ac:dyDescent="0.25">
      <c r="B286" s="54">
        <v>2</v>
      </c>
      <c r="C286" s="55">
        <v>1</v>
      </c>
      <c r="D286" s="56" t="s">
        <v>194</v>
      </c>
      <c r="E286" s="400">
        <v>-0.72398658232255608</v>
      </c>
      <c r="F286" s="401">
        <v>-0.7145623238214549</v>
      </c>
      <c r="G286" s="401">
        <v>-0.71080346040792519</v>
      </c>
      <c r="H286" s="401">
        <v>-0.7113342251811019</v>
      </c>
      <c r="I286" s="401">
        <v>-0.69915133811932972</v>
      </c>
      <c r="J286" s="401">
        <v>-0.60874269725559604</v>
      </c>
      <c r="K286" s="401">
        <v>-0.68532758381539138</v>
      </c>
      <c r="L286" s="401">
        <v>-0.75480239485805212</v>
      </c>
      <c r="M286" s="401">
        <v>-0.44335885481401022</v>
      </c>
      <c r="N286" s="401">
        <v>-0.59883132014241414</v>
      </c>
      <c r="O286" s="401">
        <v>-0.5775103246693295</v>
      </c>
      <c r="P286" s="401">
        <v>-0.7470785087638816</v>
      </c>
      <c r="Q286" s="402">
        <v>-0.68732548234068336</v>
      </c>
    </row>
    <row r="287" spans="2:17" x14ac:dyDescent="0.25">
      <c r="B287" s="54">
        <v>2</v>
      </c>
      <c r="C287" s="55">
        <v>1</v>
      </c>
      <c r="D287" s="56" t="s">
        <v>195</v>
      </c>
      <c r="E287" s="400">
        <v>2.2742349692065369E-2</v>
      </c>
      <c r="F287" s="401">
        <v>2.3271518246369926E-2</v>
      </c>
      <c r="G287" s="401">
        <v>2.3399081726637426E-2</v>
      </c>
      <c r="H287" s="401">
        <v>2.3411715225184232E-2</v>
      </c>
      <c r="I287" s="401">
        <v>2.2997947191210278E-2</v>
      </c>
      <c r="J287" s="401">
        <v>1.9691000451574837E-2</v>
      </c>
      <c r="K287" s="401">
        <v>2.1843284715861468E-2</v>
      </c>
      <c r="L287" s="401">
        <v>2.3151603334155703E-2</v>
      </c>
      <c r="M287" s="401">
        <v>1.776186384335916E-2</v>
      </c>
      <c r="N287" s="401">
        <v>1.942320081181742E-2</v>
      </c>
      <c r="O287" s="401">
        <v>1.8259226025401316E-2</v>
      </c>
      <c r="P287" s="401">
        <v>2.2882674123857447E-2</v>
      </c>
      <c r="Q287" s="402">
        <v>2.2396667128676353E-2</v>
      </c>
    </row>
    <row r="288" spans="2:17" x14ac:dyDescent="0.25">
      <c r="B288" s="54">
        <v>2</v>
      </c>
      <c r="C288" s="55">
        <v>2</v>
      </c>
      <c r="D288" s="56" t="s">
        <v>192</v>
      </c>
      <c r="E288" s="400">
        <v>66.401246643066372</v>
      </c>
      <c r="F288" s="401">
        <v>67.219522094726543</v>
      </c>
      <c r="G288" s="401">
        <v>67.518810145060172</v>
      </c>
      <c r="H288" s="401">
        <v>67.346419652303013</v>
      </c>
      <c r="I288" s="401">
        <v>67.291593297322521</v>
      </c>
      <c r="J288" s="401">
        <v>65.082512410481741</v>
      </c>
      <c r="K288" s="401">
        <v>66.085933685302706</v>
      </c>
      <c r="L288" s="401">
        <v>67.690056737263973</v>
      </c>
      <c r="M288" s="401">
        <v>65.377479616800855</v>
      </c>
      <c r="N288" s="401">
        <v>64.720394261677995</v>
      </c>
      <c r="O288" s="401">
        <v>60.907541402180968</v>
      </c>
      <c r="P288" s="401">
        <v>64.498957824706977</v>
      </c>
      <c r="Q288" s="402">
        <v>66.578002067565876</v>
      </c>
    </row>
    <row r="289" spans="2:17" x14ac:dyDescent="0.25">
      <c r="B289" s="54">
        <v>2</v>
      </c>
      <c r="C289" s="55">
        <v>2</v>
      </c>
      <c r="D289" s="56" t="s">
        <v>193</v>
      </c>
      <c r="E289" s="400">
        <v>3.891208946565929</v>
      </c>
      <c r="F289" s="401">
        <v>3.9222455732379706</v>
      </c>
      <c r="G289" s="401">
        <v>3.9384233642198865</v>
      </c>
      <c r="H289" s="401">
        <v>3.9329334272371415</v>
      </c>
      <c r="I289" s="401">
        <v>3.8652354935480968</v>
      </c>
      <c r="J289" s="401">
        <v>3.015006118350565</v>
      </c>
      <c r="K289" s="401">
        <v>3.581170564116491</v>
      </c>
      <c r="L289" s="401">
        <v>4.0410015766437297</v>
      </c>
      <c r="M289" s="401">
        <v>3.1722806329957067</v>
      </c>
      <c r="N289" s="401">
        <v>2.957554017654584</v>
      </c>
      <c r="O289" s="401">
        <v>2.5645670449909805</v>
      </c>
      <c r="P289" s="401">
        <v>3.9715654214593856</v>
      </c>
      <c r="Q289" s="402">
        <v>3.7162660958587326</v>
      </c>
    </row>
    <row r="290" spans="2:17" x14ac:dyDescent="0.25">
      <c r="B290" s="54">
        <v>2</v>
      </c>
      <c r="C290" s="55">
        <v>2</v>
      </c>
      <c r="D290" s="56" t="s">
        <v>194</v>
      </c>
      <c r="E290" s="400">
        <v>-0.64283827634958146</v>
      </c>
      <c r="F290" s="401">
        <v>-0.65599126637954586</v>
      </c>
      <c r="G290" s="401">
        <v>-0.66138782256688955</v>
      </c>
      <c r="H290" s="401">
        <v>-0.65874160753263566</v>
      </c>
      <c r="I290" s="401">
        <v>-0.65854179053317841</v>
      </c>
      <c r="J290" s="401">
        <v>-0.53930075240857733</v>
      </c>
      <c r="K290" s="401">
        <v>-0.61263629495402938</v>
      </c>
      <c r="L290" s="401">
        <v>-0.74208402522516204</v>
      </c>
      <c r="M290" s="401">
        <v>-0.67028194763165971</v>
      </c>
      <c r="N290" s="401">
        <v>-0.52879661502260245</v>
      </c>
      <c r="O290" s="401">
        <v>-0.44505706755987212</v>
      </c>
      <c r="P290" s="401">
        <v>-0.69427785617766247</v>
      </c>
      <c r="Q290" s="402">
        <v>-0.63394591450413418</v>
      </c>
    </row>
    <row r="291" spans="2:17" x14ac:dyDescent="0.25">
      <c r="B291" s="54">
        <v>2</v>
      </c>
      <c r="C291" s="55">
        <v>2</v>
      </c>
      <c r="D291" s="56" t="s">
        <v>195</v>
      </c>
      <c r="E291" s="400">
        <v>1.8042525767168534E-2</v>
      </c>
      <c r="F291" s="401">
        <v>1.8527803813753546E-2</v>
      </c>
      <c r="G291" s="401">
        <v>1.8722719060605911E-2</v>
      </c>
      <c r="H291" s="401">
        <v>1.8624131774013179E-2</v>
      </c>
      <c r="I291" s="401">
        <v>1.8740239306392882E-2</v>
      </c>
      <c r="J291" s="401">
        <v>1.5146238635284756E-2</v>
      </c>
      <c r="K291" s="401">
        <v>1.7290874609395178E-2</v>
      </c>
      <c r="L291" s="401">
        <v>2.2123013065133642E-2</v>
      </c>
      <c r="M291" s="401">
        <v>2.0638163782592565E-2</v>
      </c>
      <c r="N291" s="401">
        <v>1.4805567384970339E-2</v>
      </c>
      <c r="O291" s="401">
        <v>1.2042012989011608E-2</v>
      </c>
      <c r="P291" s="401">
        <v>2.0270380292090731E-2</v>
      </c>
      <c r="Q291" s="402">
        <v>1.7966566537828924E-2</v>
      </c>
    </row>
    <row r="292" spans="2:17" x14ac:dyDescent="0.25">
      <c r="B292" s="54">
        <v>2</v>
      </c>
      <c r="C292" s="55">
        <v>3</v>
      </c>
      <c r="D292" s="56" t="s">
        <v>192</v>
      </c>
      <c r="E292" s="400">
        <v>48.58130544026691</v>
      </c>
      <c r="F292" s="401">
        <v>48.606655629475902</v>
      </c>
      <c r="G292" s="401">
        <v>48.627354303995752</v>
      </c>
      <c r="H292" s="401">
        <v>48.600014623006174</v>
      </c>
      <c r="I292" s="401">
        <v>48.434063339233383</v>
      </c>
      <c r="J292" s="401">
        <v>47.617435201009101</v>
      </c>
      <c r="K292" s="401">
        <v>48.064645894368468</v>
      </c>
      <c r="L292" s="401">
        <v>46.761648559570283</v>
      </c>
      <c r="M292" s="401">
        <v>44.033904202779098</v>
      </c>
      <c r="N292" s="401">
        <v>47.488664627075174</v>
      </c>
      <c r="O292" s="401">
        <v>45.692099634806311</v>
      </c>
      <c r="P292" s="401">
        <v>46.364650090535449</v>
      </c>
      <c r="Q292" s="402">
        <v>48.120956495920801</v>
      </c>
    </row>
    <row r="293" spans="2:17" x14ac:dyDescent="0.25">
      <c r="B293" s="54">
        <v>2</v>
      </c>
      <c r="C293" s="55">
        <v>3</v>
      </c>
      <c r="D293" s="56" t="s">
        <v>193</v>
      </c>
      <c r="E293" s="400">
        <v>1.873949974196405</v>
      </c>
      <c r="F293" s="401">
        <v>1.8796854137725962</v>
      </c>
      <c r="G293" s="401">
        <v>1.8885319079182012</v>
      </c>
      <c r="H293" s="401">
        <v>1.8786941089644977</v>
      </c>
      <c r="I293" s="401">
        <v>1.9740945983507348</v>
      </c>
      <c r="J293" s="401">
        <v>1.6295839189649475</v>
      </c>
      <c r="K293" s="401">
        <v>1.8276080277508899</v>
      </c>
      <c r="L293" s="401">
        <v>2.897510963534796</v>
      </c>
      <c r="M293" s="401">
        <v>3.0968959765000843</v>
      </c>
      <c r="N293" s="401">
        <v>1.584645944504937</v>
      </c>
      <c r="O293" s="401">
        <v>1.1487100485599415</v>
      </c>
      <c r="P293" s="401">
        <v>2.5880828092704058</v>
      </c>
      <c r="Q293" s="402">
        <v>1.8867074992032467</v>
      </c>
    </row>
    <row r="294" spans="2:17" x14ac:dyDescent="0.25">
      <c r="B294" s="54">
        <v>2</v>
      </c>
      <c r="C294" s="55">
        <v>3</v>
      </c>
      <c r="D294" s="56" t="s">
        <v>194</v>
      </c>
      <c r="E294" s="400">
        <v>-0.22537316086686857</v>
      </c>
      <c r="F294" s="401">
        <v>-0.22620093294512703</v>
      </c>
      <c r="G294" s="401">
        <v>-0.22730814938222899</v>
      </c>
      <c r="H294" s="401">
        <v>-0.22603354420695299</v>
      </c>
      <c r="I294" s="401">
        <v>-0.24072453080913142</v>
      </c>
      <c r="J294" s="401">
        <v>-0.21260013613667531</v>
      </c>
      <c r="K294" s="401">
        <v>-0.22680915763606013</v>
      </c>
      <c r="L294" s="401">
        <v>-0.36034597661389667</v>
      </c>
      <c r="M294" s="401">
        <v>-0.40699515198216352</v>
      </c>
      <c r="N294" s="401">
        <v>-0.20709981784953957</v>
      </c>
      <c r="O294" s="401">
        <v>-0.15220141410827645</v>
      </c>
      <c r="P294" s="401">
        <v>-0.32108475611760107</v>
      </c>
      <c r="Q294" s="402">
        <v>-0.231535346430221</v>
      </c>
    </row>
    <row r="295" spans="2:17" x14ac:dyDescent="0.25">
      <c r="B295" s="54">
        <v>2</v>
      </c>
      <c r="C295" s="55">
        <v>3</v>
      </c>
      <c r="D295" s="56" t="s">
        <v>195</v>
      </c>
      <c r="E295" s="400">
        <v>4.2987337571850316E-3</v>
      </c>
      <c r="F295" s="401">
        <v>4.3227398404800926E-3</v>
      </c>
      <c r="G295" s="401">
        <v>4.3535511347334264E-3</v>
      </c>
      <c r="H295" s="401">
        <v>4.317649501927999E-3</v>
      </c>
      <c r="I295" s="401">
        <v>4.7825834226867675E-3</v>
      </c>
      <c r="J295" s="401">
        <v>4.3248349414283056E-3</v>
      </c>
      <c r="K295" s="401">
        <v>4.4964703831824621E-3</v>
      </c>
      <c r="L295" s="401">
        <v>8.3102423179585126E-3</v>
      </c>
      <c r="M295" s="401">
        <v>1.0142414858846973E-2</v>
      </c>
      <c r="N295" s="401">
        <v>4.1762799742431234E-3</v>
      </c>
      <c r="O295" s="401">
        <v>2.7193409023862931E-3</v>
      </c>
      <c r="P295" s="401">
        <v>7.1644788577562308E-3</v>
      </c>
      <c r="Q295" s="402">
        <v>4.5787456671026521E-3</v>
      </c>
    </row>
    <row r="296" spans="2:17" x14ac:dyDescent="0.25">
      <c r="B296" s="54">
        <v>3</v>
      </c>
      <c r="C296" s="55">
        <v>1</v>
      </c>
      <c r="D296" s="56" t="s">
        <v>192</v>
      </c>
      <c r="E296" s="400">
        <v>85.830122629801366</v>
      </c>
      <c r="F296" s="401">
        <v>92.536491394042912</v>
      </c>
      <c r="G296" s="401">
        <v>94.508572896321553</v>
      </c>
      <c r="H296" s="401">
        <v>94.477876408894787</v>
      </c>
      <c r="I296" s="401">
        <v>92.942376454671177</v>
      </c>
      <c r="J296" s="401">
        <v>87.551662572224885</v>
      </c>
      <c r="K296" s="401">
        <v>92.29077707926433</v>
      </c>
      <c r="L296" s="401">
        <v>88.138392639160131</v>
      </c>
      <c r="M296" s="401">
        <v>105.72302913665769</v>
      </c>
      <c r="N296" s="401">
        <v>87.795200347900334</v>
      </c>
      <c r="O296" s="401">
        <v>83.048541259765599</v>
      </c>
      <c r="P296" s="401">
        <v>85.23340466817217</v>
      </c>
      <c r="Q296" s="402">
        <v>92.065685056050583</v>
      </c>
    </row>
    <row r="297" spans="2:17" x14ac:dyDescent="0.25">
      <c r="B297" s="54">
        <v>3</v>
      </c>
      <c r="C297" s="55">
        <v>1</v>
      </c>
      <c r="D297" s="56" t="s">
        <v>193</v>
      </c>
      <c r="E297" s="400">
        <v>2.7635397307152307</v>
      </c>
      <c r="F297" s="401">
        <v>2.0285995464132429</v>
      </c>
      <c r="G297" s="401">
        <v>1.8036128794767283</v>
      </c>
      <c r="H297" s="401">
        <v>1.8109437546808063</v>
      </c>
      <c r="I297" s="401">
        <v>1.7820103792784974</v>
      </c>
      <c r="J297" s="401">
        <v>1.5277697397186238</v>
      </c>
      <c r="K297" s="401">
        <v>1.5716678972103468</v>
      </c>
      <c r="L297" s="401">
        <v>1.7835830467656884</v>
      </c>
      <c r="M297" s="401">
        <v>-3.4760724590467413</v>
      </c>
      <c r="N297" s="401">
        <v>1.4206788178646317</v>
      </c>
      <c r="O297" s="401">
        <v>1.6875395400633477</v>
      </c>
      <c r="P297" s="401">
        <v>2.0948016008111821</v>
      </c>
      <c r="Q297" s="402">
        <v>1.7223859303555278</v>
      </c>
    </row>
    <row r="298" spans="2:17" x14ac:dyDescent="0.25">
      <c r="B298" s="54">
        <v>3</v>
      </c>
      <c r="C298" s="55">
        <v>1</v>
      </c>
      <c r="D298" s="56" t="s">
        <v>194</v>
      </c>
      <c r="E298" s="400">
        <v>-0.72779434933251308</v>
      </c>
      <c r="F298" s="401">
        <v>-0.71807055762319993</v>
      </c>
      <c r="G298" s="401">
        <v>-0.71418937992104947</v>
      </c>
      <c r="H298" s="401">
        <v>-0.71473956330395183</v>
      </c>
      <c r="I298" s="401">
        <v>-0.70216795725700309</v>
      </c>
      <c r="J298" s="401">
        <v>-0.60886401785559419</v>
      </c>
      <c r="K298" s="401">
        <v>-0.66870562624542318</v>
      </c>
      <c r="L298" s="401">
        <v>-0.70979126794632796</v>
      </c>
      <c r="M298" s="401">
        <v>-0.33787016490678512</v>
      </c>
      <c r="N298" s="401">
        <v>-0.59864575935132691</v>
      </c>
      <c r="O298" s="401">
        <v>-0.57670531406269243</v>
      </c>
      <c r="P298" s="401">
        <v>-0.71218387897198043</v>
      </c>
      <c r="Q298" s="402">
        <v>-0.68452418730809239</v>
      </c>
    </row>
    <row r="299" spans="2:17" x14ac:dyDescent="0.25">
      <c r="B299" s="54">
        <v>3</v>
      </c>
      <c r="C299" s="55">
        <v>1</v>
      </c>
      <c r="D299" s="56" t="s">
        <v>195</v>
      </c>
      <c r="E299" s="400">
        <v>2.2839193670158759E-2</v>
      </c>
      <c r="F299" s="401">
        <v>2.3385381457781605E-2</v>
      </c>
      <c r="G299" s="401">
        <v>2.3516990551211286E-2</v>
      </c>
      <c r="H299" s="401">
        <v>2.3530086715182575E-2</v>
      </c>
      <c r="I299" s="401">
        <v>2.3103097750405185E-2</v>
      </c>
      <c r="J299" s="401">
        <v>1.9690213874040352E-2</v>
      </c>
      <c r="K299" s="401">
        <v>2.2022694604009654E-2</v>
      </c>
      <c r="L299" s="401">
        <v>2.3729315078249269E-2</v>
      </c>
      <c r="M299" s="401">
        <v>1.5756098216322879E-2</v>
      </c>
      <c r="N299" s="401">
        <v>1.9414031144344486E-2</v>
      </c>
      <c r="O299" s="401">
        <v>1.8213254773718695E-2</v>
      </c>
      <c r="P299" s="401">
        <v>2.3416125598394712E-2</v>
      </c>
      <c r="Q299" s="402">
        <v>2.2473035751615505E-2</v>
      </c>
    </row>
    <row r="300" spans="2:17" x14ac:dyDescent="0.25">
      <c r="B300" s="54">
        <v>3</v>
      </c>
      <c r="C300" s="55">
        <v>2</v>
      </c>
      <c r="D300" s="56" t="s">
        <v>192</v>
      </c>
      <c r="E300" s="400">
        <v>66.889725367228124</v>
      </c>
      <c r="F300" s="401">
        <v>67.734712473551411</v>
      </c>
      <c r="G300" s="401">
        <v>68.042832819620713</v>
      </c>
      <c r="H300" s="401">
        <v>67.865694808959915</v>
      </c>
      <c r="I300" s="401">
        <v>67.809558614094982</v>
      </c>
      <c r="J300" s="401">
        <v>65.530953725179003</v>
      </c>
      <c r="K300" s="401">
        <v>66.565789922078395</v>
      </c>
      <c r="L300" s="401">
        <v>68.218317667643191</v>
      </c>
      <c r="M300" s="401">
        <v>65.670848910013774</v>
      </c>
      <c r="N300" s="401">
        <v>65.159398523966431</v>
      </c>
      <c r="O300" s="401">
        <v>61.232092030843063</v>
      </c>
      <c r="P300" s="401">
        <v>64.934306971232047</v>
      </c>
      <c r="Q300" s="402">
        <v>67.070201529184942</v>
      </c>
    </row>
    <row r="301" spans="2:17" x14ac:dyDescent="0.25">
      <c r="B301" s="54">
        <v>3</v>
      </c>
      <c r="C301" s="55">
        <v>2</v>
      </c>
      <c r="D301" s="56" t="s">
        <v>193</v>
      </c>
      <c r="E301" s="400">
        <v>3.9226266872818147</v>
      </c>
      <c r="F301" s="401">
        <v>3.9546437559891139</v>
      </c>
      <c r="G301" s="401">
        <v>3.9713836616569602</v>
      </c>
      <c r="H301" s="401">
        <v>3.9656639569659839</v>
      </c>
      <c r="I301" s="401">
        <v>3.8957602183024234</v>
      </c>
      <c r="J301" s="401">
        <v>3.0181495185591296</v>
      </c>
      <c r="K301" s="401">
        <v>3.6025511805364809</v>
      </c>
      <c r="L301" s="401">
        <v>4.0773213615506512</v>
      </c>
      <c r="M301" s="401">
        <v>3.2666042758775844</v>
      </c>
      <c r="N301" s="401">
        <v>2.9587186040485656</v>
      </c>
      <c r="O301" s="401">
        <v>2.5517226799384769</v>
      </c>
      <c r="P301" s="401">
        <v>4.0050218877814725</v>
      </c>
      <c r="Q301" s="402">
        <v>3.7436737218862826</v>
      </c>
    </row>
    <row r="302" spans="2:17" x14ac:dyDescent="0.25">
      <c r="B302" s="54">
        <v>3</v>
      </c>
      <c r="C302" s="55">
        <v>2</v>
      </c>
      <c r="D302" s="56" t="s">
        <v>194</v>
      </c>
      <c r="E302" s="400">
        <v>-0.64618385977400628</v>
      </c>
      <c r="F302" s="401">
        <v>-0.65976286601353451</v>
      </c>
      <c r="G302" s="401">
        <v>-0.66532817142548939</v>
      </c>
      <c r="H302" s="401">
        <v>-0.66260029052521086</v>
      </c>
      <c r="I302" s="401">
        <v>-0.66239528222517663</v>
      </c>
      <c r="J302" s="401">
        <v>-0.53933227923644522</v>
      </c>
      <c r="K302" s="401">
        <v>-0.61502030068066427</v>
      </c>
      <c r="L302" s="401">
        <v>-0.74860379134580635</v>
      </c>
      <c r="M302" s="401">
        <v>-0.68580074076886099</v>
      </c>
      <c r="N302" s="401">
        <v>-0.5285024131650421</v>
      </c>
      <c r="O302" s="401">
        <v>-0.44201274407215674</v>
      </c>
      <c r="P302" s="401">
        <v>-0.69930575277421991</v>
      </c>
      <c r="Q302" s="402">
        <v>-0.63723426639339076</v>
      </c>
    </row>
    <row r="303" spans="2:17" x14ac:dyDescent="0.25">
      <c r="B303" s="54">
        <v>3</v>
      </c>
      <c r="C303" s="55">
        <v>2</v>
      </c>
      <c r="D303" s="56" t="s">
        <v>195</v>
      </c>
      <c r="E303" s="400">
        <v>1.8109190250980688E-2</v>
      </c>
      <c r="F303" s="401">
        <v>1.8610224671945546E-2</v>
      </c>
      <c r="G303" s="401">
        <v>1.8811155866076103E-2</v>
      </c>
      <c r="H303" s="401">
        <v>1.8709609465906617E-2</v>
      </c>
      <c r="I303" s="401">
        <v>1.8829537160468868E-2</v>
      </c>
      <c r="J303" s="401">
        <v>1.5120511473660912E-2</v>
      </c>
      <c r="K303" s="401">
        <v>1.7333846455316954E-2</v>
      </c>
      <c r="L303" s="401">
        <v>2.2320049070256053E-2</v>
      </c>
      <c r="M303" s="401">
        <v>2.1199707338396902E-2</v>
      </c>
      <c r="N303" s="401">
        <v>1.4769561455614755E-2</v>
      </c>
      <c r="O303" s="401">
        <v>1.1916750516646972E-2</v>
      </c>
      <c r="P303" s="401">
        <v>2.0410562728668473E-2</v>
      </c>
      <c r="Q303" s="402">
        <v>1.8039279102630749E-2</v>
      </c>
    </row>
    <row r="304" spans="2:17" x14ac:dyDescent="0.25">
      <c r="B304" s="54">
        <v>3</v>
      </c>
      <c r="C304" s="55">
        <v>3</v>
      </c>
      <c r="D304" s="56" t="s">
        <v>192</v>
      </c>
      <c r="E304" s="400">
        <v>48.966009012858066</v>
      </c>
      <c r="F304" s="401">
        <v>48.992190043131501</v>
      </c>
      <c r="G304" s="401">
        <v>49.013510767618804</v>
      </c>
      <c r="H304" s="401">
        <v>48.985362370808915</v>
      </c>
      <c r="I304" s="401">
        <v>48.8140972137451</v>
      </c>
      <c r="J304" s="401">
        <v>47.971480560302723</v>
      </c>
      <c r="K304" s="401">
        <v>48.432921218872053</v>
      </c>
      <c r="L304" s="401">
        <v>47.08796043395995</v>
      </c>
      <c r="M304" s="401">
        <v>44.109533119201622</v>
      </c>
      <c r="N304" s="401">
        <v>47.838814036051417</v>
      </c>
      <c r="O304" s="401">
        <v>45.985354359944651</v>
      </c>
      <c r="P304" s="401">
        <v>46.67900848388669</v>
      </c>
      <c r="Q304" s="402">
        <v>48.48776222737628</v>
      </c>
    </row>
    <row r="305" spans="2:17" x14ac:dyDescent="0.25">
      <c r="B305" s="54">
        <v>3</v>
      </c>
      <c r="C305" s="55">
        <v>3</v>
      </c>
      <c r="D305" s="56" t="s">
        <v>193</v>
      </c>
      <c r="E305" s="400">
        <v>1.8665242761998748</v>
      </c>
      <c r="F305" s="401">
        <v>1.8724661721864597</v>
      </c>
      <c r="G305" s="401">
        <v>1.8815776314398269</v>
      </c>
      <c r="H305" s="401">
        <v>1.8714537602019308</v>
      </c>
      <c r="I305" s="401">
        <v>1.9699165181958054</v>
      </c>
      <c r="J305" s="401">
        <v>1.6144311744850015</v>
      </c>
      <c r="K305" s="401">
        <v>1.8187783811105367</v>
      </c>
      <c r="L305" s="401">
        <v>2.9228551956508766</v>
      </c>
      <c r="M305" s="401">
        <v>3.2154786646041975</v>
      </c>
      <c r="N305" s="401">
        <v>1.5682175902312567</v>
      </c>
      <c r="O305" s="401">
        <v>1.1190635100203905</v>
      </c>
      <c r="P305" s="401">
        <v>2.6041565700937115</v>
      </c>
      <c r="Q305" s="402">
        <v>1.8815236952217849</v>
      </c>
    </row>
    <row r="306" spans="2:17" x14ac:dyDescent="0.25">
      <c r="B306" s="54">
        <v>3</v>
      </c>
      <c r="C306" s="55">
        <v>3</v>
      </c>
      <c r="D306" s="56" t="s">
        <v>194</v>
      </c>
      <c r="E306" s="400">
        <v>-0.22391949000058473</v>
      </c>
      <c r="F306" s="401">
        <v>-0.22477679319315019</v>
      </c>
      <c r="G306" s="401">
        <v>-0.22591676134051705</v>
      </c>
      <c r="H306" s="401">
        <v>-0.22460565922699341</v>
      </c>
      <c r="I306" s="401">
        <v>-0.23976811051090849</v>
      </c>
      <c r="J306" s="401">
        <v>-0.21075267113727858</v>
      </c>
      <c r="K306" s="401">
        <v>-0.22541303623528486</v>
      </c>
      <c r="L306" s="401">
        <v>-0.36321311897331221</v>
      </c>
      <c r="M306" s="401">
        <v>-0.42277883316253484</v>
      </c>
      <c r="N306" s="401">
        <v>-0.20509906637640843</v>
      </c>
      <c r="O306" s="401">
        <v>-0.14855949250690323</v>
      </c>
      <c r="P306" s="401">
        <v>-0.32278193571628705</v>
      </c>
      <c r="Q306" s="402">
        <v>-0.23052155087322135</v>
      </c>
    </row>
    <row r="307" spans="2:17" x14ac:dyDescent="0.25">
      <c r="B307" s="54">
        <v>3</v>
      </c>
      <c r="C307" s="55">
        <v>3</v>
      </c>
      <c r="D307" s="56" t="s">
        <v>195</v>
      </c>
      <c r="E307" s="400">
        <v>4.2354607637667711E-3</v>
      </c>
      <c r="F307" s="401">
        <v>4.2603284514218971E-3</v>
      </c>
      <c r="G307" s="401">
        <v>4.2920413643422776E-3</v>
      </c>
      <c r="H307" s="401">
        <v>4.2551265915142297E-3</v>
      </c>
      <c r="I307" s="401">
        <v>4.7349804764861038E-3</v>
      </c>
      <c r="J307" s="401">
        <v>4.2628911269572559E-3</v>
      </c>
      <c r="K307" s="401">
        <v>4.4398953401495961E-3</v>
      </c>
      <c r="L307" s="401">
        <v>8.3753799595569899E-3</v>
      </c>
      <c r="M307" s="401">
        <v>1.0682668487694079E-2</v>
      </c>
      <c r="N307" s="401">
        <v>4.110292306498408E-3</v>
      </c>
      <c r="O307" s="401">
        <v>2.6106675095398904E-3</v>
      </c>
      <c r="P307" s="401">
        <v>7.1956285137304123E-3</v>
      </c>
      <c r="Q307" s="402">
        <v>4.5332226895878677E-3</v>
      </c>
    </row>
    <row r="308" spans="2:17" x14ac:dyDescent="0.25">
      <c r="B308" s="54">
        <v>4</v>
      </c>
      <c r="C308" s="55">
        <v>1</v>
      </c>
      <c r="D308" s="56" t="s">
        <v>192</v>
      </c>
      <c r="E308" s="400">
        <v>85.832800038655535</v>
      </c>
      <c r="F308" s="401">
        <v>92.540578460693354</v>
      </c>
      <c r="G308" s="401">
        <v>94.513066609700502</v>
      </c>
      <c r="H308" s="401">
        <v>94.482373428344715</v>
      </c>
      <c r="I308" s="401">
        <v>92.946547953287691</v>
      </c>
      <c r="J308" s="401">
        <v>87.554723230997666</v>
      </c>
      <c r="K308" s="401">
        <v>92.29482447306313</v>
      </c>
      <c r="L308" s="401">
        <v>94.648278935750255</v>
      </c>
      <c r="M308" s="401">
        <v>104.44223028818763</v>
      </c>
      <c r="N308" s="401">
        <v>87.798326365153002</v>
      </c>
      <c r="O308" s="401">
        <v>83.050694529215434</v>
      </c>
      <c r="P308" s="401">
        <v>88.858170700073231</v>
      </c>
      <c r="Q308" s="402">
        <v>92.311571414947451</v>
      </c>
    </row>
    <row r="309" spans="2:17" x14ac:dyDescent="0.25">
      <c r="B309" s="54">
        <v>4</v>
      </c>
      <c r="C309" s="55">
        <v>1</v>
      </c>
      <c r="D309" s="56" t="s">
        <v>193</v>
      </c>
      <c r="E309" s="400">
        <v>2.7640274980777932</v>
      </c>
      <c r="F309" s="401">
        <v>2.0289355424734312</v>
      </c>
      <c r="G309" s="401">
        <v>1.8039019772871288</v>
      </c>
      <c r="H309" s="401">
        <v>1.8112324942149445</v>
      </c>
      <c r="I309" s="401">
        <v>1.7822952948528228</v>
      </c>
      <c r="J309" s="401">
        <v>1.5279946794043269</v>
      </c>
      <c r="K309" s="401">
        <v>1.5719057681862512</v>
      </c>
      <c r="L309" s="401">
        <v>1.0704620353177241</v>
      </c>
      <c r="M309" s="401">
        <v>-2.7444531154335996</v>
      </c>
      <c r="N309" s="401">
        <v>1.4208792291506411</v>
      </c>
      <c r="O309" s="401">
        <v>1.6877910640690041</v>
      </c>
      <c r="P309" s="401">
        <v>1.8758566147982865</v>
      </c>
      <c r="Q309" s="402">
        <v>1.7115164561853493</v>
      </c>
    </row>
    <row r="310" spans="2:17" x14ac:dyDescent="0.25">
      <c r="B310" s="54">
        <v>4</v>
      </c>
      <c r="C310" s="55">
        <v>1</v>
      </c>
      <c r="D310" s="56" t="s">
        <v>194</v>
      </c>
      <c r="E310" s="400">
        <v>-0.72784154065005624</v>
      </c>
      <c r="F310" s="401">
        <v>-0.71811608890275647</v>
      </c>
      <c r="G310" s="401">
        <v>-0.7142340620080917</v>
      </c>
      <c r="H310" s="401">
        <v>-0.7147842359431702</v>
      </c>
      <c r="I310" s="401">
        <v>-0.70221024182015279</v>
      </c>
      <c r="J310" s="401">
        <v>-0.60888611297785467</v>
      </c>
      <c r="K310" s="401">
        <v>-0.66874065821543216</v>
      </c>
      <c r="L310" s="401">
        <v>-0.71609805847381558</v>
      </c>
      <c r="M310" s="401">
        <v>-0.4426631644055577</v>
      </c>
      <c r="N310" s="401">
        <v>-0.59866562756625141</v>
      </c>
      <c r="O310" s="401">
        <v>-0.57672030942423513</v>
      </c>
      <c r="P310" s="401">
        <v>-0.74447064077381808</v>
      </c>
      <c r="Q310" s="402">
        <v>-0.68749179073147126</v>
      </c>
    </row>
    <row r="311" spans="2:17" x14ac:dyDescent="0.25">
      <c r="B311" s="54">
        <v>4</v>
      </c>
      <c r="C311" s="55">
        <v>1</v>
      </c>
      <c r="D311" s="56" t="s">
        <v>195</v>
      </c>
      <c r="E311" s="400">
        <v>2.2840261922479194E-2</v>
      </c>
      <c r="F311" s="401">
        <v>2.3386577070454089E-2</v>
      </c>
      <c r="G311" s="401">
        <v>2.351821209908276E-2</v>
      </c>
      <c r="H311" s="401">
        <v>2.3531308633556847E-2</v>
      </c>
      <c r="I311" s="401">
        <v>2.3104237231897088E-2</v>
      </c>
      <c r="J311" s="401">
        <v>1.9690620593535657E-2</v>
      </c>
      <c r="K311" s="401">
        <v>2.202360150234222E-2</v>
      </c>
      <c r="L311" s="401">
        <v>2.5275894626685665E-2</v>
      </c>
      <c r="M311" s="401">
        <v>1.9946246945589441E-2</v>
      </c>
      <c r="N311" s="401">
        <v>1.9414379139139213E-2</v>
      </c>
      <c r="O311" s="401">
        <v>1.8213346843675069E-2</v>
      </c>
      <c r="P311" s="401">
        <v>2.537931438185213E-2</v>
      </c>
      <c r="Q311" s="402">
        <v>2.2643445659813851E-2</v>
      </c>
    </row>
    <row r="312" spans="2:17" x14ac:dyDescent="0.25">
      <c r="B312" s="54">
        <v>4</v>
      </c>
      <c r="C312" s="55">
        <v>2</v>
      </c>
      <c r="D312" s="56" t="s">
        <v>192</v>
      </c>
      <c r="E312" s="400">
        <v>66.893019739786723</v>
      </c>
      <c r="F312" s="401">
        <v>67.738194020589162</v>
      </c>
      <c r="G312" s="401">
        <v>68.046365356445278</v>
      </c>
      <c r="H312" s="401">
        <v>67.86921234130854</v>
      </c>
      <c r="I312" s="401">
        <v>67.813058344523071</v>
      </c>
      <c r="J312" s="401">
        <v>65.53397051493323</v>
      </c>
      <c r="K312" s="401">
        <v>66.569029362996361</v>
      </c>
      <c r="L312" s="401">
        <v>67.290371322631756</v>
      </c>
      <c r="M312" s="401">
        <v>64.386387379964134</v>
      </c>
      <c r="N312" s="401">
        <v>65.162361907958953</v>
      </c>
      <c r="O312" s="401">
        <v>61.234284845987908</v>
      </c>
      <c r="P312" s="401">
        <v>64.005513636271075</v>
      </c>
      <c r="Q312" s="402">
        <v>67.001216608683237</v>
      </c>
    </row>
    <row r="313" spans="2:17" x14ac:dyDescent="0.25">
      <c r="B313" s="54">
        <v>4</v>
      </c>
      <c r="C313" s="55">
        <v>2</v>
      </c>
      <c r="D313" s="56" t="s">
        <v>193</v>
      </c>
      <c r="E313" s="400">
        <v>3.9228392343884346</v>
      </c>
      <c r="F313" s="401">
        <v>3.9548608273059411</v>
      </c>
      <c r="G313" s="401">
        <v>3.9716069300043229</v>
      </c>
      <c r="H313" s="401">
        <v>3.965880312100817</v>
      </c>
      <c r="I313" s="401">
        <v>3.8959654783591362</v>
      </c>
      <c r="J313" s="401">
        <v>3.018172672393264</v>
      </c>
      <c r="K313" s="401">
        <v>3.6026960256587008</v>
      </c>
      <c r="L313" s="401">
        <v>4.5729048013131539</v>
      </c>
      <c r="M313" s="401">
        <v>3.999042815539676</v>
      </c>
      <c r="N313" s="401">
        <v>2.9587263771981962</v>
      </c>
      <c r="O313" s="401">
        <v>2.5516343150105598</v>
      </c>
      <c r="P313" s="401">
        <v>4.500704123238414</v>
      </c>
      <c r="Q313" s="402">
        <v>3.7832631154049294</v>
      </c>
    </row>
    <row r="314" spans="2:17" x14ac:dyDescent="0.25">
      <c r="B314" s="54">
        <v>4</v>
      </c>
      <c r="C314" s="55">
        <v>2</v>
      </c>
      <c r="D314" s="56" t="s">
        <v>194</v>
      </c>
      <c r="E314" s="400">
        <v>-0.64620647119197649</v>
      </c>
      <c r="F314" s="401">
        <v>-0.65978817117242061</v>
      </c>
      <c r="G314" s="401">
        <v>-0.66535479650075102</v>
      </c>
      <c r="H314" s="401">
        <v>-0.66262591246402736</v>
      </c>
      <c r="I314" s="401">
        <v>-0.66242124928739077</v>
      </c>
      <c r="J314" s="401">
        <v>-0.53933261824654632</v>
      </c>
      <c r="K314" s="401">
        <v>-0.61503647535275274</v>
      </c>
      <c r="L314" s="401">
        <v>-0.81378803997884697</v>
      </c>
      <c r="M314" s="401">
        <v>-0.79065086902716319</v>
      </c>
      <c r="N314" s="401">
        <v>-0.52850044134891438</v>
      </c>
      <c r="O314" s="401">
        <v>-0.44199200221152929</v>
      </c>
      <c r="P314" s="401">
        <v>-0.76449556895347326</v>
      </c>
      <c r="Q314" s="402">
        <v>-0.64260859810666926</v>
      </c>
    </row>
    <row r="315" spans="2:17" x14ac:dyDescent="0.25">
      <c r="B315" s="54">
        <v>4</v>
      </c>
      <c r="C315" s="55">
        <v>2</v>
      </c>
      <c r="D315" s="56" t="s">
        <v>195</v>
      </c>
      <c r="E315" s="400">
        <v>1.8109640967688488E-2</v>
      </c>
      <c r="F315" s="401">
        <v>1.861077672118076E-2</v>
      </c>
      <c r="G315" s="401">
        <v>1.8811752838780942E-2</v>
      </c>
      <c r="H315" s="401">
        <v>1.8710174945869872E-2</v>
      </c>
      <c r="I315" s="401">
        <v>1.8830139042336384E-2</v>
      </c>
      <c r="J315" s="401">
        <v>1.5120340579224852E-2</v>
      </c>
      <c r="K315" s="401">
        <v>1.7334139337813873E-2</v>
      </c>
      <c r="L315" s="401">
        <v>2.4696281184127616E-2</v>
      </c>
      <c r="M315" s="401">
        <v>2.5391150743533437E-2</v>
      </c>
      <c r="N315" s="401">
        <v>1.4769319332007218E-2</v>
      </c>
      <c r="O315" s="401">
        <v>1.1915899101115079E-2</v>
      </c>
      <c r="P315" s="401">
        <v>2.2786983150609678E-2</v>
      </c>
      <c r="Q315" s="402">
        <v>1.8242276720789506E-2</v>
      </c>
    </row>
    <row r="316" spans="2:17" x14ac:dyDescent="0.25">
      <c r="B316" s="54">
        <v>4</v>
      </c>
      <c r="C316" s="55">
        <v>3</v>
      </c>
      <c r="D316" s="56" t="s">
        <v>192</v>
      </c>
      <c r="E316" s="400">
        <v>48.96859614054361</v>
      </c>
      <c r="F316" s="401">
        <v>48.994790013631167</v>
      </c>
      <c r="G316" s="401">
        <v>49.016117858886709</v>
      </c>
      <c r="H316" s="401">
        <v>48.987968826293923</v>
      </c>
      <c r="I316" s="401">
        <v>48.816662089029926</v>
      </c>
      <c r="J316" s="401">
        <v>47.973871739705388</v>
      </c>
      <c r="K316" s="401">
        <v>48.43540763854979</v>
      </c>
      <c r="L316" s="401">
        <v>46.155177434285463</v>
      </c>
      <c r="M316" s="401">
        <v>42.826911226908322</v>
      </c>
      <c r="N316" s="401">
        <v>47.841176350911446</v>
      </c>
      <c r="O316" s="401">
        <v>45.987332026163728</v>
      </c>
      <c r="P316" s="401">
        <v>45.744565582275357</v>
      </c>
      <c r="Q316" s="402">
        <v>48.41779493713377</v>
      </c>
    </row>
    <row r="317" spans="2:17" x14ac:dyDescent="0.25">
      <c r="B317" s="54">
        <v>4</v>
      </c>
      <c r="C317" s="55">
        <v>3</v>
      </c>
      <c r="D317" s="56" t="s">
        <v>193</v>
      </c>
      <c r="E317" s="400">
        <v>1.8664777669780674</v>
      </c>
      <c r="F317" s="401">
        <v>1.8724178804754772</v>
      </c>
      <c r="G317" s="401">
        <v>1.8815301177848105</v>
      </c>
      <c r="H317" s="401">
        <v>1.8714026585973902</v>
      </c>
      <c r="I317" s="401">
        <v>1.9698876082295154</v>
      </c>
      <c r="J317" s="401">
        <v>1.6143286489384463</v>
      </c>
      <c r="K317" s="401">
        <v>1.8187188135160457</v>
      </c>
      <c r="L317" s="401">
        <v>3.4202135011218013</v>
      </c>
      <c r="M317" s="401">
        <v>3.9465448515491248</v>
      </c>
      <c r="N317" s="401">
        <v>1.5681070703448683</v>
      </c>
      <c r="O317" s="401">
        <v>1.118864483303496</v>
      </c>
      <c r="P317" s="401">
        <v>3.102293305000599</v>
      </c>
      <c r="Q317" s="402">
        <v>1.9209698863796498</v>
      </c>
    </row>
    <row r="318" spans="2:17" x14ac:dyDescent="0.25">
      <c r="B318" s="54">
        <v>4</v>
      </c>
      <c r="C318" s="55">
        <v>3</v>
      </c>
      <c r="D318" s="56" t="s">
        <v>194</v>
      </c>
      <c r="E318" s="400">
        <v>-0.22391004051084029</v>
      </c>
      <c r="F318" s="401">
        <v>-0.22476720309757703</v>
      </c>
      <c r="G318" s="401">
        <v>-0.22590729573389867</v>
      </c>
      <c r="H318" s="401">
        <v>-0.22459578514099141</v>
      </c>
      <c r="I318" s="401">
        <v>-0.23976155483361475</v>
      </c>
      <c r="J318" s="401">
        <v>-0.21074019445405998</v>
      </c>
      <c r="K318" s="401">
        <v>-0.22540361620051619</v>
      </c>
      <c r="L318" s="401">
        <v>-0.42861599688763391</v>
      </c>
      <c r="M318" s="401">
        <v>-0.52746815781493372</v>
      </c>
      <c r="N318" s="401">
        <v>-0.20508560989842278</v>
      </c>
      <c r="O318" s="401">
        <v>-0.14853504209807439</v>
      </c>
      <c r="P318" s="401">
        <v>-0.38828754313898001</v>
      </c>
      <c r="Q318" s="402">
        <v>-0.23587771228977089</v>
      </c>
    </row>
    <row r="319" spans="2:17" x14ac:dyDescent="0.25">
      <c r="B319" s="54">
        <v>4</v>
      </c>
      <c r="C319" s="55">
        <v>3</v>
      </c>
      <c r="D319" s="56" t="s">
        <v>195</v>
      </c>
      <c r="E319" s="400">
        <v>4.2350440406947586E-3</v>
      </c>
      <c r="F319" s="401">
        <v>4.2599074675671944E-3</v>
      </c>
      <c r="G319" s="401">
        <v>4.2916237150131499E-3</v>
      </c>
      <c r="H319" s="401">
        <v>4.254697549222702E-3</v>
      </c>
      <c r="I319" s="401">
        <v>4.7346558233704325E-3</v>
      </c>
      <c r="J319" s="401">
        <v>4.2624731997510023E-3</v>
      </c>
      <c r="K319" s="401">
        <v>4.4395134443447658E-3</v>
      </c>
      <c r="L319" s="401">
        <v>1.0759594371917184E-2</v>
      </c>
      <c r="M319" s="401">
        <v>1.4869745285268363E-2</v>
      </c>
      <c r="N319" s="401">
        <v>4.1098486293445974E-3</v>
      </c>
      <c r="O319" s="401">
        <v>2.6099380820688613E-3</v>
      </c>
      <c r="P319" s="401">
        <v>9.583646786148094E-3</v>
      </c>
      <c r="Q319" s="402">
        <v>4.7358521048005871E-3</v>
      </c>
    </row>
    <row r="320" spans="2:17" x14ac:dyDescent="0.25">
      <c r="B320" s="54">
        <v>5</v>
      </c>
      <c r="C320" s="55">
        <v>1</v>
      </c>
      <c r="D320" s="56" t="s">
        <v>192</v>
      </c>
      <c r="E320" s="400">
        <v>84.17998733520497</v>
      </c>
      <c r="F320" s="401">
        <v>90.883051045735598</v>
      </c>
      <c r="G320" s="401">
        <v>92.854277292887303</v>
      </c>
      <c r="H320" s="401">
        <v>92.823564910888592</v>
      </c>
      <c r="I320" s="401">
        <v>91.489868164062457</v>
      </c>
      <c r="J320" s="401">
        <v>86.138550567626851</v>
      </c>
      <c r="K320" s="401">
        <v>90.845428721109982</v>
      </c>
      <c r="L320" s="401">
        <v>102.79465866088864</v>
      </c>
      <c r="M320" s="401">
        <v>108.4154109954834</v>
      </c>
      <c r="N320" s="401">
        <v>86.385074106852144</v>
      </c>
      <c r="O320" s="401">
        <v>81.662831878662075</v>
      </c>
      <c r="P320" s="401">
        <v>94.51497014363602</v>
      </c>
      <c r="Q320" s="402">
        <v>91.271652575174912</v>
      </c>
    </row>
    <row r="321" spans="2:17" x14ac:dyDescent="0.25">
      <c r="B321" s="54">
        <v>5</v>
      </c>
      <c r="C321" s="55">
        <v>1</v>
      </c>
      <c r="D321" s="56" t="s">
        <v>193</v>
      </c>
      <c r="E321" s="400">
        <v>3.7462224360112772</v>
      </c>
      <c r="F321" s="401">
        <v>3.0134840152387956</v>
      </c>
      <c r="G321" s="401">
        <v>2.7890797639504625</v>
      </c>
      <c r="H321" s="401">
        <v>2.7964196897979736</v>
      </c>
      <c r="I321" s="401">
        <v>2.6736128910067825</v>
      </c>
      <c r="J321" s="401">
        <v>2.3992453443976514</v>
      </c>
      <c r="K321" s="401">
        <v>2.4596042188453326</v>
      </c>
      <c r="L321" s="401">
        <v>-0.52519199175710707</v>
      </c>
      <c r="M321" s="401">
        <v>-4.6835671564174692</v>
      </c>
      <c r="N321" s="401">
        <v>2.2906939418351286</v>
      </c>
      <c r="O321" s="401">
        <v>2.5450587609801727</v>
      </c>
      <c r="P321" s="401">
        <v>0.76706480739094007</v>
      </c>
      <c r="Q321" s="402">
        <v>2.4880788269873078</v>
      </c>
    </row>
    <row r="322" spans="2:17" x14ac:dyDescent="0.25">
      <c r="B322" s="54">
        <v>5</v>
      </c>
      <c r="C322" s="55">
        <v>1</v>
      </c>
      <c r="D322" s="56" t="s">
        <v>194</v>
      </c>
      <c r="E322" s="400">
        <v>-0.87625341148643443</v>
      </c>
      <c r="F322" s="401">
        <v>-0.86680189435020938</v>
      </c>
      <c r="G322" s="401">
        <v>-0.86299299360155401</v>
      </c>
      <c r="H322" s="401">
        <v>-0.86354422791576868</v>
      </c>
      <c r="I322" s="401">
        <v>-0.84152187889828434</v>
      </c>
      <c r="J322" s="401">
        <v>-0.74589314938703288</v>
      </c>
      <c r="K322" s="401">
        <v>-0.80763445923100641</v>
      </c>
      <c r="L322" s="401">
        <v>-0.64441394139003272</v>
      </c>
      <c r="M322" s="401">
        <v>-0.23354794651200556</v>
      </c>
      <c r="N322" s="401">
        <v>-0.73550999247944615</v>
      </c>
      <c r="O322" s="401">
        <v>-0.71213013475591591</v>
      </c>
      <c r="P322" s="401">
        <v>-0.70293578234585996</v>
      </c>
      <c r="Q322" s="402">
        <v>-0.81550696528597222</v>
      </c>
    </row>
    <row r="323" spans="2:17" x14ac:dyDescent="0.25">
      <c r="B323" s="54">
        <v>5</v>
      </c>
      <c r="C323" s="55">
        <v>1</v>
      </c>
      <c r="D323" s="56" t="s">
        <v>195</v>
      </c>
      <c r="E323" s="400">
        <v>2.9129530166412638E-2</v>
      </c>
      <c r="F323" s="401">
        <v>2.9683855400589397E-2</v>
      </c>
      <c r="G323" s="401">
        <v>2.9817622302573382E-2</v>
      </c>
      <c r="H323" s="401">
        <v>2.9830748014146344E-2</v>
      </c>
      <c r="I323" s="401">
        <v>2.9209650850333124E-2</v>
      </c>
      <c r="J323" s="401">
        <v>2.5730313121022121E-2</v>
      </c>
      <c r="K323" s="401">
        <v>2.8116979243316333E-2</v>
      </c>
      <c r="L323" s="401">
        <v>2.6076079526425582E-2</v>
      </c>
      <c r="M323" s="401">
        <v>1.5221002311232334E-2</v>
      </c>
      <c r="N323" s="401">
        <v>2.5449556996865016E-2</v>
      </c>
      <c r="O323" s="401">
        <v>2.4207973721051494E-2</v>
      </c>
      <c r="P323" s="401">
        <v>2.6777883972784536E-2</v>
      </c>
      <c r="Q323" s="402">
        <v>2.8390170570112762E-2</v>
      </c>
    </row>
    <row r="324" spans="2:17" x14ac:dyDescent="0.25">
      <c r="B324" s="54">
        <v>5</v>
      </c>
      <c r="C324" s="55">
        <v>2</v>
      </c>
      <c r="D324" s="56" t="s">
        <v>192</v>
      </c>
      <c r="E324" s="400">
        <v>65.272160593668559</v>
      </c>
      <c r="F324" s="401">
        <v>66.113456217447848</v>
      </c>
      <c r="G324" s="401">
        <v>66.42001317342114</v>
      </c>
      <c r="H324" s="401">
        <v>66.24365463256828</v>
      </c>
      <c r="I324" s="401">
        <v>66.386065419514921</v>
      </c>
      <c r="J324" s="401">
        <v>64.218513615926071</v>
      </c>
      <c r="K324" s="401">
        <v>65.17050984700515</v>
      </c>
      <c r="L324" s="401">
        <v>68.233993784586559</v>
      </c>
      <c r="M324" s="401">
        <v>68.362594223022441</v>
      </c>
      <c r="N324" s="401">
        <v>63.856798934936492</v>
      </c>
      <c r="O324" s="401">
        <v>60.037114842732677</v>
      </c>
      <c r="P324" s="401">
        <v>64.955539449055934</v>
      </c>
      <c r="Q324" s="402">
        <v>65.698231220245304</v>
      </c>
    </row>
    <row r="325" spans="2:17" x14ac:dyDescent="0.25">
      <c r="B325" s="54">
        <v>5</v>
      </c>
      <c r="C325" s="55">
        <v>2</v>
      </c>
      <c r="D325" s="56" t="s">
        <v>193</v>
      </c>
      <c r="E325" s="400">
        <v>4.8890683515737106</v>
      </c>
      <c r="F325" s="401">
        <v>4.9230259389217963</v>
      </c>
      <c r="G325" s="401">
        <v>4.940576821588806</v>
      </c>
      <c r="H325" s="401">
        <v>4.934453764902889</v>
      </c>
      <c r="I325" s="401">
        <v>4.7724497142279052</v>
      </c>
      <c r="J325" s="401">
        <v>3.8394536523737584</v>
      </c>
      <c r="K325" s="401">
        <v>4.4650352525451851</v>
      </c>
      <c r="L325" s="401">
        <v>4.2706969705031934</v>
      </c>
      <c r="M325" s="401">
        <v>2.0582101902669101</v>
      </c>
      <c r="N325" s="401">
        <v>3.7751222486725822</v>
      </c>
      <c r="O325" s="401">
        <v>3.31449387475514</v>
      </c>
      <c r="P325" s="401">
        <v>4.1949106051927627</v>
      </c>
      <c r="Q325" s="402">
        <v>4.5912124101858245</v>
      </c>
    </row>
    <row r="326" spans="2:17" x14ac:dyDescent="0.25">
      <c r="B326" s="54">
        <v>5</v>
      </c>
      <c r="C326" s="55">
        <v>2</v>
      </c>
      <c r="D326" s="56" t="s">
        <v>194</v>
      </c>
      <c r="E326" s="400">
        <v>-0.79275700651404635</v>
      </c>
      <c r="F326" s="401">
        <v>-0.80656400704995301</v>
      </c>
      <c r="G326" s="401">
        <v>-0.81222408579224115</v>
      </c>
      <c r="H326" s="401">
        <v>-0.80944908526671988</v>
      </c>
      <c r="I326" s="401">
        <v>-0.80000355804994749</v>
      </c>
      <c r="J326" s="401">
        <v>-0.67058525052104079</v>
      </c>
      <c r="K326" s="401">
        <v>-0.75098613036540418</v>
      </c>
      <c r="L326" s="401">
        <v>-0.81476633254186914</v>
      </c>
      <c r="M326" s="401">
        <v>-0.58130397552099056</v>
      </c>
      <c r="N326" s="401">
        <v>-0.6591954042305771</v>
      </c>
      <c r="O326" s="401">
        <v>-0.56657159189522266</v>
      </c>
      <c r="P326" s="401">
        <v>-0.7649970799337199</v>
      </c>
      <c r="Q326" s="402">
        <v>-0.77092440523467809</v>
      </c>
    </row>
    <row r="327" spans="2:17" x14ac:dyDescent="0.25">
      <c r="B327" s="54">
        <v>5</v>
      </c>
      <c r="C327" s="55">
        <v>2</v>
      </c>
      <c r="D327" s="56" t="s">
        <v>195</v>
      </c>
      <c r="E327" s="400">
        <v>2.4344318859690236E-2</v>
      </c>
      <c r="F327" s="401">
        <v>2.4852040856960904E-2</v>
      </c>
      <c r="G327" s="401">
        <v>2.5055738225313023E-2</v>
      </c>
      <c r="H327" s="401">
        <v>2.4952812998815455E-2</v>
      </c>
      <c r="I327" s="401">
        <v>2.4884833137286975E-2</v>
      </c>
      <c r="J327" s="401">
        <v>2.0995074867183362E-2</v>
      </c>
      <c r="K327" s="401">
        <v>2.334182393949168E-2</v>
      </c>
      <c r="L327" s="401">
        <v>2.678172312323775E-2</v>
      </c>
      <c r="M327" s="401">
        <v>2.0658139674906251E-2</v>
      </c>
      <c r="N327" s="401">
        <v>2.0628336241010042E-2</v>
      </c>
      <c r="O327" s="401">
        <v>1.7602337360752625E-2</v>
      </c>
      <c r="P327" s="401">
        <v>2.4856615177679231E-2</v>
      </c>
      <c r="Q327" s="402">
        <v>2.3962131248672754E-2</v>
      </c>
    </row>
    <row r="328" spans="2:17" x14ac:dyDescent="0.25">
      <c r="B328" s="54">
        <v>5</v>
      </c>
      <c r="C328" s="55">
        <v>3</v>
      </c>
      <c r="D328" s="56" t="s">
        <v>192</v>
      </c>
      <c r="E328" s="400">
        <v>47.663558832804341</v>
      </c>
      <c r="F328" s="401">
        <v>47.6881294250488</v>
      </c>
      <c r="G328" s="401">
        <v>47.707260513305641</v>
      </c>
      <c r="H328" s="401">
        <v>47.681581624348929</v>
      </c>
      <c r="I328" s="401">
        <v>47.676565170288058</v>
      </c>
      <c r="J328" s="401">
        <v>47.201749038696263</v>
      </c>
      <c r="K328" s="401">
        <v>47.411359786987276</v>
      </c>
      <c r="L328" s="401">
        <v>47.222432327270468</v>
      </c>
      <c r="M328" s="401">
        <v>46.861168924967423</v>
      </c>
      <c r="N328" s="401">
        <v>47.090495427449518</v>
      </c>
      <c r="O328" s="401">
        <v>45.652584966023745</v>
      </c>
      <c r="P328" s="401">
        <v>46.854565048217744</v>
      </c>
      <c r="Q328" s="402">
        <v>47.47245678838091</v>
      </c>
    </row>
    <row r="329" spans="2:17" x14ac:dyDescent="0.25">
      <c r="B329" s="54">
        <v>5</v>
      </c>
      <c r="C329" s="55">
        <v>3</v>
      </c>
      <c r="D329" s="56" t="s">
        <v>193</v>
      </c>
      <c r="E329" s="400">
        <v>2.675096351413095</v>
      </c>
      <c r="F329" s="401">
        <v>2.6818452374177526</v>
      </c>
      <c r="G329" s="401">
        <v>2.6920502799003794</v>
      </c>
      <c r="H329" s="401">
        <v>2.680693411512165</v>
      </c>
      <c r="I329" s="401">
        <v>2.703178451333573</v>
      </c>
      <c r="J329" s="401">
        <v>2.1666422931371834</v>
      </c>
      <c r="K329" s="401">
        <v>2.4946759501074176</v>
      </c>
      <c r="L329" s="401">
        <v>3.0485377148685382</v>
      </c>
      <c r="M329" s="401">
        <v>1.9727584739572497</v>
      </c>
      <c r="N329" s="401">
        <v>2.1098695342264779</v>
      </c>
      <c r="O329" s="401">
        <v>1.4445684654544144</v>
      </c>
      <c r="P329" s="401">
        <v>2.706733824026712</v>
      </c>
      <c r="Q329" s="402">
        <v>2.5499727284528624</v>
      </c>
    </row>
    <row r="330" spans="2:17" x14ac:dyDescent="0.25">
      <c r="B330" s="54">
        <v>5</v>
      </c>
      <c r="C330" s="55">
        <v>3</v>
      </c>
      <c r="D330" s="56" t="s">
        <v>194</v>
      </c>
      <c r="E330" s="400">
        <v>-0.35212292926850625</v>
      </c>
      <c r="F330" s="401">
        <v>-0.35307393207416715</v>
      </c>
      <c r="G330" s="401">
        <v>-0.35434047658960349</v>
      </c>
      <c r="H330" s="401">
        <v>-0.35288658508887699</v>
      </c>
      <c r="I330" s="401">
        <v>-0.36068010885954505</v>
      </c>
      <c r="J330" s="401">
        <v>-0.31114010877542619</v>
      </c>
      <c r="K330" s="401">
        <v>-0.33976803348336793</v>
      </c>
      <c r="L330" s="401">
        <v>-0.42032658470260598</v>
      </c>
      <c r="M330" s="401">
        <v>-0.31368066492058527</v>
      </c>
      <c r="N330" s="401">
        <v>-0.30428820945722018</v>
      </c>
      <c r="O330" s="401">
        <v>-0.22144787961786486</v>
      </c>
      <c r="P330" s="401">
        <v>-0.37682903174198101</v>
      </c>
      <c r="Q330" s="402">
        <v>-0.34332772874609935</v>
      </c>
    </row>
    <row r="331" spans="2:17" x14ac:dyDescent="0.25">
      <c r="B331" s="54">
        <v>5</v>
      </c>
      <c r="C331" s="55">
        <v>3</v>
      </c>
      <c r="D331" s="56" t="s">
        <v>195</v>
      </c>
      <c r="E331" s="400">
        <v>9.9338002230830395E-3</v>
      </c>
      <c r="F331" s="401">
        <v>9.9613926812670787E-3</v>
      </c>
      <c r="G331" s="401">
        <v>9.9967677369077138E-3</v>
      </c>
      <c r="H331" s="401">
        <v>9.9557152809611506E-3</v>
      </c>
      <c r="I331" s="401">
        <v>1.0302168228131651E-2</v>
      </c>
      <c r="J331" s="401">
        <v>9.2592387581019991E-3</v>
      </c>
      <c r="K331" s="401">
        <v>9.8217052364868232E-3</v>
      </c>
      <c r="L331" s="401">
        <v>1.2536993300905531E-2</v>
      </c>
      <c r="M331" s="401">
        <v>9.9879079024367736E-3</v>
      </c>
      <c r="N331" s="401">
        <v>9.0732569831605287E-3</v>
      </c>
      <c r="O331" s="401">
        <v>6.7817972163961519E-3</v>
      </c>
      <c r="P331" s="401">
        <v>1.1256108380327343E-2</v>
      </c>
      <c r="Q331" s="402">
        <v>9.8467291392554095E-3</v>
      </c>
    </row>
    <row r="332" spans="2:17" x14ac:dyDescent="0.25">
      <c r="B332" s="54">
        <v>6</v>
      </c>
      <c r="C332" s="55">
        <v>1</v>
      </c>
      <c r="D332" s="56" t="s">
        <v>192</v>
      </c>
      <c r="E332" s="400">
        <v>84.17998733520497</v>
      </c>
      <c r="F332" s="401">
        <v>90.883051045735598</v>
      </c>
      <c r="G332" s="401">
        <v>92.854277292887303</v>
      </c>
      <c r="H332" s="401">
        <v>92.823564910888592</v>
      </c>
      <c r="I332" s="401">
        <v>91.489868164062457</v>
      </c>
      <c r="J332" s="401">
        <v>86.138550567626851</v>
      </c>
      <c r="K332" s="401">
        <v>90.845428721109982</v>
      </c>
      <c r="L332" s="401">
        <v>102.79465866088864</v>
      </c>
      <c r="M332" s="401">
        <v>108.4154109954834</v>
      </c>
      <c r="N332" s="401">
        <v>86.385074106852144</v>
      </c>
      <c r="O332" s="401">
        <v>81.662831878662075</v>
      </c>
      <c r="P332" s="401">
        <v>94.51497014363602</v>
      </c>
      <c r="Q332" s="402">
        <v>91.271652575174912</v>
      </c>
    </row>
    <row r="333" spans="2:17" x14ac:dyDescent="0.25">
      <c r="B333" s="54">
        <v>6</v>
      </c>
      <c r="C333" s="55">
        <v>1</v>
      </c>
      <c r="D333" s="56" t="s">
        <v>193</v>
      </c>
      <c r="E333" s="400">
        <v>3.7462224360112772</v>
      </c>
      <c r="F333" s="401">
        <v>3.0134840152387956</v>
      </c>
      <c r="G333" s="401">
        <v>2.7890797639504625</v>
      </c>
      <c r="H333" s="401">
        <v>2.7964196897979736</v>
      </c>
      <c r="I333" s="401">
        <v>2.6736128910067825</v>
      </c>
      <c r="J333" s="401">
        <v>2.3992453443976514</v>
      </c>
      <c r="K333" s="401">
        <v>2.4596042188453326</v>
      </c>
      <c r="L333" s="401">
        <v>-0.52519199175710707</v>
      </c>
      <c r="M333" s="401">
        <v>-4.6835671564174692</v>
      </c>
      <c r="N333" s="401">
        <v>2.2906939418351286</v>
      </c>
      <c r="O333" s="401">
        <v>2.5450587609801727</v>
      </c>
      <c r="P333" s="401">
        <v>0.76706480739094007</v>
      </c>
      <c r="Q333" s="402">
        <v>2.4880788269873078</v>
      </c>
    </row>
    <row r="334" spans="2:17" x14ac:dyDescent="0.25">
      <c r="B334" s="54">
        <v>6</v>
      </c>
      <c r="C334" s="55">
        <v>1</v>
      </c>
      <c r="D334" s="56" t="s">
        <v>194</v>
      </c>
      <c r="E334" s="400">
        <v>-0.87625341148643443</v>
      </c>
      <c r="F334" s="401">
        <v>-0.86680189435020938</v>
      </c>
      <c r="G334" s="401">
        <v>-0.86299299360155401</v>
      </c>
      <c r="H334" s="401">
        <v>-0.86354422791576868</v>
      </c>
      <c r="I334" s="401">
        <v>-0.84152187889828434</v>
      </c>
      <c r="J334" s="401">
        <v>-0.74589314938703288</v>
      </c>
      <c r="K334" s="401">
        <v>-0.80763445923100641</v>
      </c>
      <c r="L334" s="401">
        <v>-0.64441394139003272</v>
      </c>
      <c r="M334" s="401">
        <v>-0.23354794651200556</v>
      </c>
      <c r="N334" s="401">
        <v>-0.73550999247944615</v>
      </c>
      <c r="O334" s="401">
        <v>-0.71213013475591591</v>
      </c>
      <c r="P334" s="401">
        <v>-0.70293578234585996</v>
      </c>
      <c r="Q334" s="402">
        <v>-0.81550696528597222</v>
      </c>
    </row>
    <row r="335" spans="2:17" x14ac:dyDescent="0.25">
      <c r="B335" s="54">
        <v>6</v>
      </c>
      <c r="C335" s="55">
        <v>1</v>
      </c>
      <c r="D335" s="56" t="s">
        <v>195</v>
      </c>
      <c r="E335" s="400">
        <v>2.9129530166412638E-2</v>
      </c>
      <c r="F335" s="401">
        <v>2.9683855400589397E-2</v>
      </c>
      <c r="G335" s="401">
        <v>2.9817622302573382E-2</v>
      </c>
      <c r="H335" s="401">
        <v>2.9830748014146344E-2</v>
      </c>
      <c r="I335" s="401">
        <v>2.9209650850333124E-2</v>
      </c>
      <c r="J335" s="401">
        <v>2.5730313121022121E-2</v>
      </c>
      <c r="K335" s="401">
        <v>2.8116979243316333E-2</v>
      </c>
      <c r="L335" s="401">
        <v>2.6076079526425582E-2</v>
      </c>
      <c r="M335" s="401">
        <v>1.5221002311232334E-2</v>
      </c>
      <c r="N335" s="401">
        <v>2.5449556996865016E-2</v>
      </c>
      <c r="O335" s="401">
        <v>2.4207973721051494E-2</v>
      </c>
      <c r="P335" s="401">
        <v>2.6777883972784536E-2</v>
      </c>
      <c r="Q335" s="402">
        <v>2.8390170570112762E-2</v>
      </c>
    </row>
    <row r="336" spans="2:17" x14ac:dyDescent="0.25">
      <c r="B336" s="54">
        <v>6</v>
      </c>
      <c r="C336" s="55">
        <v>2</v>
      </c>
      <c r="D336" s="56" t="s">
        <v>192</v>
      </c>
      <c r="E336" s="400">
        <v>65.272160593668559</v>
      </c>
      <c r="F336" s="401">
        <v>66.113456217447848</v>
      </c>
      <c r="G336" s="401">
        <v>66.42001317342114</v>
      </c>
      <c r="H336" s="401">
        <v>66.24365463256828</v>
      </c>
      <c r="I336" s="401">
        <v>66.386065419514921</v>
      </c>
      <c r="J336" s="401">
        <v>64.218513615926071</v>
      </c>
      <c r="K336" s="401">
        <v>65.17050984700515</v>
      </c>
      <c r="L336" s="401">
        <v>68.233993784586559</v>
      </c>
      <c r="M336" s="401">
        <v>68.362594223022441</v>
      </c>
      <c r="N336" s="401">
        <v>63.856798934936492</v>
      </c>
      <c r="O336" s="401">
        <v>60.037114842732677</v>
      </c>
      <c r="P336" s="401">
        <v>64.955539449055934</v>
      </c>
      <c r="Q336" s="402">
        <v>65.698231220245304</v>
      </c>
    </row>
    <row r="337" spans="2:17" x14ac:dyDescent="0.25">
      <c r="B337" s="54">
        <v>6</v>
      </c>
      <c r="C337" s="55">
        <v>2</v>
      </c>
      <c r="D337" s="56" t="s">
        <v>193</v>
      </c>
      <c r="E337" s="400">
        <v>4.8890683515737106</v>
      </c>
      <c r="F337" s="401">
        <v>4.9230259389217963</v>
      </c>
      <c r="G337" s="401">
        <v>4.940576821588806</v>
      </c>
      <c r="H337" s="401">
        <v>4.934453764902889</v>
      </c>
      <c r="I337" s="401">
        <v>4.7724497142279052</v>
      </c>
      <c r="J337" s="401">
        <v>3.8394536523737584</v>
      </c>
      <c r="K337" s="401">
        <v>4.4650352525451851</v>
      </c>
      <c r="L337" s="401">
        <v>4.2706969705031934</v>
      </c>
      <c r="M337" s="401">
        <v>2.0582101902669101</v>
      </c>
      <c r="N337" s="401">
        <v>3.7751222486725822</v>
      </c>
      <c r="O337" s="401">
        <v>3.31449387475514</v>
      </c>
      <c r="P337" s="401">
        <v>4.1949106051927627</v>
      </c>
      <c r="Q337" s="402">
        <v>4.5912124101858245</v>
      </c>
    </row>
    <row r="338" spans="2:17" x14ac:dyDescent="0.25">
      <c r="B338" s="54">
        <v>6</v>
      </c>
      <c r="C338" s="55">
        <v>2</v>
      </c>
      <c r="D338" s="56" t="s">
        <v>194</v>
      </c>
      <c r="E338" s="400">
        <v>-0.79275700651404635</v>
      </c>
      <c r="F338" s="401">
        <v>-0.80656400704995301</v>
      </c>
      <c r="G338" s="401">
        <v>-0.81222408579224115</v>
      </c>
      <c r="H338" s="401">
        <v>-0.80944908526671988</v>
      </c>
      <c r="I338" s="401">
        <v>-0.80000355804994749</v>
      </c>
      <c r="J338" s="401">
        <v>-0.67058525052104079</v>
      </c>
      <c r="K338" s="401">
        <v>-0.75098613036540418</v>
      </c>
      <c r="L338" s="401">
        <v>-0.81476633254186914</v>
      </c>
      <c r="M338" s="401">
        <v>-0.58130397552099056</v>
      </c>
      <c r="N338" s="401">
        <v>-0.6591954042305771</v>
      </c>
      <c r="O338" s="401">
        <v>-0.56657159189522266</v>
      </c>
      <c r="P338" s="401">
        <v>-0.7649970799337199</v>
      </c>
      <c r="Q338" s="402">
        <v>-0.77092440523467809</v>
      </c>
    </row>
    <row r="339" spans="2:17" x14ac:dyDescent="0.25">
      <c r="B339" s="54">
        <v>6</v>
      </c>
      <c r="C339" s="55">
        <v>2</v>
      </c>
      <c r="D339" s="56" t="s">
        <v>195</v>
      </c>
      <c r="E339" s="400">
        <v>2.4344318859690236E-2</v>
      </c>
      <c r="F339" s="401">
        <v>2.4852040856960904E-2</v>
      </c>
      <c r="G339" s="401">
        <v>2.5055738225313023E-2</v>
      </c>
      <c r="H339" s="401">
        <v>2.4952812998815455E-2</v>
      </c>
      <c r="I339" s="401">
        <v>2.4884833137286975E-2</v>
      </c>
      <c r="J339" s="401">
        <v>2.0995074867183362E-2</v>
      </c>
      <c r="K339" s="401">
        <v>2.334182393949168E-2</v>
      </c>
      <c r="L339" s="401">
        <v>2.678172312323775E-2</v>
      </c>
      <c r="M339" s="401">
        <v>2.0658139674906251E-2</v>
      </c>
      <c r="N339" s="401">
        <v>2.0628336241010042E-2</v>
      </c>
      <c r="O339" s="401">
        <v>1.7602337360752625E-2</v>
      </c>
      <c r="P339" s="401">
        <v>2.4856615177679231E-2</v>
      </c>
      <c r="Q339" s="402">
        <v>2.3962131248672754E-2</v>
      </c>
    </row>
    <row r="340" spans="2:17" x14ac:dyDescent="0.25">
      <c r="B340" s="54">
        <v>6</v>
      </c>
      <c r="C340" s="55">
        <v>3</v>
      </c>
      <c r="D340" s="56" t="s">
        <v>192</v>
      </c>
      <c r="E340" s="400">
        <v>47.663558832804341</v>
      </c>
      <c r="F340" s="401">
        <v>47.6881294250488</v>
      </c>
      <c r="G340" s="401">
        <v>47.707260513305641</v>
      </c>
      <c r="H340" s="401">
        <v>47.681581624348929</v>
      </c>
      <c r="I340" s="401">
        <v>47.676565170288058</v>
      </c>
      <c r="J340" s="401">
        <v>47.201749038696263</v>
      </c>
      <c r="K340" s="401">
        <v>47.411359786987276</v>
      </c>
      <c r="L340" s="401">
        <v>47.222432327270468</v>
      </c>
      <c r="M340" s="401">
        <v>46.861168924967423</v>
      </c>
      <c r="N340" s="401">
        <v>47.090495427449518</v>
      </c>
      <c r="O340" s="401">
        <v>45.652584966023745</v>
      </c>
      <c r="P340" s="401">
        <v>46.854565048217744</v>
      </c>
      <c r="Q340" s="402">
        <v>47.47245678838091</v>
      </c>
    </row>
    <row r="341" spans="2:17" x14ac:dyDescent="0.25">
      <c r="B341" s="54">
        <v>6</v>
      </c>
      <c r="C341" s="55">
        <v>3</v>
      </c>
      <c r="D341" s="56" t="s">
        <v>193</v>
      </c>
      <c r="E341" s="400">
        <v>2.675096351413095</v>
      </c>
      <c r="F341" s="401">
        <v>2.6818452374177526</v>
      </c>
      <c r="G341" s="401">
        <v>2.6920502799003794</v>
      </c>
      <c r="H341" s="401">
        <v>2.680693411512165</v>
      </c>
      <c r="I341" s="401">
        <v>2.703178451333573</v>
      </c>
      <c r="J341" s="401">
        <v>2.1666422931371834</v>
      </c>
      <c r="K341" s="401">
        <v>2.4946759501074176</v>
      </c>
      <c r="L341" s="401">
        <v>3.0485377148685382</v>
      </c>
      <c r="M341" s="401">
        <v>1.9727584739572497</v>
      </c>
      <c r="N341" s="401">
        <v>2.1098695342264779</v>
      </c>
      <c r="O341" s="401">
        <v>1.4445684654544144</v>
      </c>
      <c r="P341" s="401">
        <v>2.706733824026712</v>
      </c>
      <c r="Q341" s="402">
        <v>2.5499727284528624</v>
      </c>
    </row>
    <row r="342" spans="2:17" x14ac:dyDescent="0.25">
      <c r="B342" s="54">
        <v>6</v>
      </c>
      <c r="C342" s="55">
        <v>3</v>
      </c>
      <c r="D342" s="56" t="s">
        <v>194</v>
      </c>
      <c r="E342" s="400">
        <v>-0.35212292926850625</v>
      </c>
      <c r="F342" s="401">
        <v>-0.35307393207416715</v>
      </c>
      <c r="G342" s="401">
        <v>-0.35434047658960349</v>
      </c>
      <c r="H342" s="401">
        <v>-0.35288658508887699</v>
      </c>
      <c r="I342" s="401">
        <v>-0.36068010885954505</v>
      </c>
      <c r="J342" s="401">
        <v>-0.31114010877542619</v>
      </c>
      <c r="K342" s="401">
        <v>-0.33976803348336793</v>
      </c>
      <c r="L342" s="401">
        <v>-0.42032658470260598</v>
      </c>
      <c r="M342" s="401">
        <v>-0.31368066492058527</v>
      </c>
      <c r="N342" s="401">
        <v>-0.30428820945722018</v>
      </c>
      <c r="O342" s="401">
        <v>-0.22144787961786486</v>
      </c>
      <c r="P342" s="401">
        <v>-0.37682903174198101</v>
      </c>
      <c r="Q342" s="402">
        <v>-0.34332772874609935</v>
      </c>
    </row>
    <row r="343" spans="2:17" x14ac:dyDescent="0.25">
      <c r="B343" s="54">
        <v>6</v>
      </c>
      <c r="C343" s="55">
        <v>3</v>
      </c>
      <c r="D343" s="56" t="s">
        <v>195</v>
      </c>
      <c r="E343" s="400">
        <v>9.9338002230830395E-3</v>
      </c>
      <c r="F343" s="401">
        <v>9.9613926812670787E-3</v>
      </c>
      <c r="G343" s="401">
        <v>9.9967677369077138E-3</v>
      </c>
      <c r="H343" s="401">
        <v>9.9557152809611506E-3</v>
      </c>
      <c r="I343" s="401">
        <v>1.0302168228131651E-2</v>
      </c>
      <c r="J343" s="401">
        <v>9.2592387581019991E-3</v>
      </c>
      <c r="K343" s="401">
        <v>9.8217052364868232E-3</v>
      </c>
      <c r="L343" s="401">
        <v>1.2536993300905531E-2</v>
      </c>
      <c r="M343" s="401">
        <v>9.9879079024367736E-3</v>
      </c>
      <c r="N343" s="401">
        <v>9.0732569831605287E-3</v>
      </c>
      <c r="O343" s="401">
        <v>6.7817972163961519E-3</v>
      </c>
      <c r="P343" s="401">
        <v>1.1256108380327343E-2</v>
      </c>
      <c r="Q343" s="402">
        <v>9.8467291392554095E-3</v>
      </c>
    </row>
    <row r="344" spans="2:17" x14ac:dyDescent="0.25">
      <c r="B344" s="54">
        <v>7</v>
      </c>
      <c r="C344" s="55">
        <v>1</v>
      </c>
      <c r="D344" s="56" t="s">
        <v>192</v>
      </c>
      <c r="E344" s="400">
        <v>84.17998733520497</v>
      </c>
      <c r="F344" s="401">
        <v>90.883051045735598</v>
      </c>
      <c r="G344" s="401">
        <v>92.854277292887303</v>
      </c>
      <c r="H344" s="401">
        <v>92.823564910888592</v>
      </c>
      <c r="I344" s="401">
        <v>91.489868164062457</v>
      </c>
      <c r="J344" s="401">
        <v>86.138550567626851</v>
      </c>
      <c r="K344" s="401">
        <v>90.845428721109982</v>
      </c>
      <c r="L344" s="401">
        <v>102.79465866088864</v>
      </c>
      <c r="M344" s="401">
        <v>108.4154109954834</v>
      </c>
      <c r="N344" s="401">
        <v>86.385074106852144</v>
      </c>
      <c r="O344" s="401">
        <v>81.662831878662075</v>
      </c>
      <c r="P344" s="401">
        <v>94.51497014363602</v>
      </c>
      <c r="Q344" s="402">
        <v>91.271652575174912</v>
      </c>
    </row>
    <row r="345" spans="2:17" x14ac:dyDescent="0.25">
      <c r="B345" s="54">
        <v>7</v>
      </c>
      <c r="C345" s="55">
        <v>1</v>
      </c>
      <c r="D345" s="56" t="s">
        <v>193</v>
      </c>
      <c r="E345" s="400">
        <v>3.7462224360112772</v>
      </c>
      <c r="F345" s="401">
        <v>3.0134840152387956</v>
      </c>
      <c r="G345" s="401">
        <v>2.7890797639504625</v>
      </c>
      <c r="H345" s="401">
        <v>2.7964196897979736</v>
      </c>
      <c r="I345" s="401">
        <v>2.6736128910067825</v>
      </c>
      <c r="J345" s="401">
        <v>2.3992453443976514</v>
      </c>
      <c r="K345" s="401">
        <v>2.4596042188453326</v>
      </c>
      <c r="L345" s="401">
        <v>-0.52519199175710707</v>
      </c>
      <c r="M345" s="401">
        <v>-4.6835671564174692</v>
      </c>
      <c r="N345" s="401">
        <v>2.2906939418351286</v>
      </c>
      <c r="O345" s="401">
        <v>2.5450587609801727</v>
      </c>
      <c r="P345" s="401">
        <v>0.76706480739094007</v>
      </c>
      <c r="Q345" s="402">
        <v>2.4880788269873078</v>
      </c>
    </row>
    <row r="346" spans="2:17" x14ac:dyDescent="0.25">
      <c r="B346" s="54">
        <v>7</v>
      </c>
      <c r="C346" s="55">
        <v>1</v>
      </c>
      <c r="D346" s="56" t="s">
        <v>194</v>
      </c>
      <c r="E346" s="400">
        <v>-0.87625341148643443</v>
      </c>
      <c r="F346" s="401">
        <v>-0.86680189435020938</v>
      </c>
      <c r="G346" s="401">
        <v>-0.86299299360155401</v>
      </c>
      <c r="H346" s="401">
        <v>-0.86354422791576868</v>
      </c>
      <c r="I346" s="401">
        <v>-0.84152187889828434</v>
      </c>
      <c r="J346" s="401">
        <v>-0.74589314938703288</v>
      </c>
      <c r="K346" s="401">
        <v>-0.80763445923100641</v>
      </c>
      <c r="L346" s="401">
        <v>-0.64441394139003272</v>
      </c>
      <c r="M346" s="401">
        <v>-0.23354794651200556</v>
      </c>
      <c r="N346" s="401">
        <v>-0.73550999247944615</v>
      </c>
      <c r="O346" s="401">
        <v>-0.71213013475591591</v>
      </c>
      <c r="P346" s="401">
        <v>-0.70293578234585996</v>
      </c>
      <c r="Q346" s="402">
        <v>-0.81550696528597222</v>
      </c>
    </row>
    <row r="347" spans="2:17" x14ac:dyDescent="0.25">
      <c r="B347" s="54">
        <v>7</v>
      </c>
      <c r="C347" s="55">
        <v>1</v>
      </c>
      <c r="D347" s="56" t="s">
        <v>195</v>
      </c>
      <c r="E347" s="400">
        <v>2.9129530166412638E-2</v>
      </c>
      <c r="F347" s="401">
        <v>2.9683855400589397E-2</v>
      </c>
      <c r="G347" s="401">
        <v>2.9817622302573382E-2</v>
      </c>
      <c r="H347" s="401">
        <v>2.9830748014146344E-2</v>
      </c>
      <c r="I347" s="401">
        <v>2.9209650850333124E-2</v>
      </c>
      <c r="J347" s="401">
        <v>2.5730313121022121E-2</v>
      </c>
      <c r="K347" s="401">
        <v>2.8116979243316333E-2</v>
      </c>
      <c r="L347" s="401">
        <v>2.6076079526425582E-2</v>
      </c>
      <c r="M347" s="401">
        <v>1.5221002311232334E-2</v>
      </c>
      <c r="N347" s="401">
        <v>2.5449556996865016E-2</v>
      </c>
      <c r="O347" s="401">
        <v>2.4207973721051494E-2</v>
      </c>
      <c r="P347" s="401">
        <v>2.6777883972784536E-2</v>
      </c>
      <c r="Q347" s="402">
        <v>2.8390170570112762E-2</v>
      </c>
    </row>
    <row r="348" spans="2:17" x14ac:dyDescent="0.25">
      <c r="B348" s="54">
        <v>7</v>
      </c>
      <c r="C348" s="55">
        <v>2</v>
      </c>
      <c r="D348" s="56" t="s">
        <v>192</v>
      </c>
      <c r="E348" s="400">
        <v>65.272160593668559</v>
      </c>
      <c r="F348" s="401">
        <v>66.113456217447848</v>
      </c>
      <c r="G348" s="401">
        <v>66.42001317342114</v>
      </c>
      <c r="H348" s="401">
        <v>66.24365463256828</v>
      </c>
      <c r="I348" s="401">
        <v>66.386065419514921</v>
      </c>
      <c r="J348" s="401">
        <v>64.218513615926071</v>
      </c>
      <c r="K348" s="401">
        <v>65.17050984700515</v>
      </c>
      <c r="L348" s="401">
        <v>68.233993784586559</v>
      </c>
      <c r="M348" s="401">
        <v>68.362594223022441</v>
      </c>
      <c r="N348" s="401">
        <v>63.856798934936492</v>
      </c>
      <c r="O348" s="401">
        <v>60.037114842732677</v>
      </c>
      <c r="P348" s="401">
        <v>64.955539449055934</v>
      </c>
      <c r="Q348" s="402">
        <v>65.698231220245304</v>
      </c>
    </row>
    <row r="349" spans="2:17" x14ac:dyDescent="0.25">
      <c r="B349" s="54">
        <v>7</v>
      </c>
      <c r="C349" s="55">
        <v>2</v>
      </c>
      <c r="D349" s="56" t="s">
        <v>193</v>
      </c>
      <c r="E349" s="400">
        <v>4.8890683515737106</v>
      </c>
      <c r="F349" s="401">
        <v>4.9230259389217963</v>
      </c>
      <c r="G349" s="401">
        <v>4.940576821588806</v>
      </c>
      <c r="H349" s="401">
        <v>4.934453764902889</v>
      </c>
      <c r="I349" s="401">
        <v>4.7724497142279052</v>
      </c>
      <c r="J349" s="401">
        <v>3.8394536523737584</v>
      </c>
      <c r="K349" s="401">
        <v>4.4650352525451851</v>
      </c>
      <c r="L349" s="401">
        <v>4.2706969705031934</v>
      </c>
      <c r="M349" s="401">
        <v>2.0582101902669101</v>
      </c>
      <c r="N349" s="401">
        <v>3.7751222486725822</v>
      </c>
      <c r="O349" s="401">
        <v>3.31449387475514</v>
      </c>
      <c r="P349" s="401">
        <v>4.1949106051927627</v>
      </c>
      <c r="Q349" s="402">
        <v>4.5912124101858245</v>
      </c>
    </row>
    <row r="350" spans="2:17" x14ac:dyDescent="0.25">
      <c r="B350" s="54">
        <v>7</v>
      </c>
      <c r="C350" s="55">
        <v>2</v>
      </c>
      <c r="D350" s="56" t="s">
        <v>194</v>
      </c>
      <c r="E350" s="400">
        <v>-0.79275700651404635</v>
      </c>
      <c r="F350" s="401">
        <v>-0.80656400704995301</v>
      </c>
      <c r="G350" s="401">
        <v>-0.81222408579224115</v>
      </c>
      <c r="H350" s="401">
        <v>-0.80944908526671988</v>
      </c>
      <c r="I350" s="401">
        <v>-0.80000355804994749</v>
      </c>
      <c r="J350" s="401">
        <v>-0.67058525052104079</v>
      </c>
      <c r="K350" s="401">
        <v>-0.75098613036540418</v>
      </c>
      <c r="L350" s="401">
        <v>-0.81476633254186914</v>
      </c>
      <c r="M350" s="401">
        <v>-0.58130397552099056</v>
      </c>
      <c r="N350" s="401">
        <v>-0.6591954042305771</v>
      </c>
      <c r="O350" s="401">
        <v>-0.56657159189522266</v>
      </c>
      <c r="P350" s="401">
        <v>-0.7649970799337199</v>
      </c>
      <c r="Q350" s="402">
        <v>-0.77092440523467809</v>
      </c>
    </row>
    <row r="351" spans="2:17" x14ac:dyDescent="0.25">
      <c r="B351" s="54">
        <v>7</v>
      </c>
      <c r="C351" s="55">
        <v>2</v>
      </c>
      <c r="D351" s="56" t="s">
        <v>195</v>
      </c>
      <c r="E351" s="400">
        <v>2.4344318859690236E-2</v>
      </c>
      <c r="F351" s="401">
        <v>2.4852040856960904E-2</v>
      </c>
      <c r="G351" s="401">
        <v>2.5055738225313023E-2</v>
      </c>
      <c r="H351" s="401">
        <v>2.4952812998815455E-2</v>
      </c>
      <c r="I351" s="401">
        <v>2.4884833137286975E-2</v>
      </c>
      <c r="J351" s="401">
        <v>2.0995074867183362E-2</v>
      </c>
      <c r="K351" s="401">
        <v>2.334182393949168E-2</v>
      </c>
      <c r="L351" s="401">
        <v>2.678172312323775E-2</v>
      </c>
      <c r="M351" s="401">
        <v>2.0658139674906251E-2</v>
      </c>
      <c r="N351" s="401">
        <v>2.0628336241010042E-2</v>
      </c>
      <c r="O351" s="401">
        <v>1.7602337360752625E-2</v>
      </c>
      <c r="P351" s="401">
        <v>2.4856615177679231E-2</v>
      </c>
      <c r="Q351" s="402">
        <v>2.3962131248672754E-2</v>
      </c>
    </row>
    <row r="352" spans="2:17" x14ac:dyDescent="0.25">
      <c r="B352" s="54">
        <v>7</v>
      </c>
      <c r="C352" s="55">
        <v>3</v>
      </c>
      <c r="D352" s="56" t="s">
        <v>192</v>
      </c>
      <c r="E352" s="400">
        <v>47.663558832804341</v>
      </c>
      <c r="F352" s="401">
        <v>47.6881294250488</v>
      </c>
      <c r="G352" s="401">
        <v>47.707260513305641</v>
      </c>
      <c r="H352" s="401">
        <v>47.681581624348929</v>
      </c>
      <c r="I352" s="401">
        <v>47.676565170288058</v>
      </c>
      <c r="J352" s="401">
        <v>47.201749038696263</v>
      </c>
      <c r="K352" s="401">
        <v>47.411359786987276</v>
      </c>
      <c r="L352" s="401">
        <v>47.222432327270468</v>
      </c>
      <c r="M352" s="401">
        <v>46.861168924967423</v>
      </c>
      <c r="N352" s="401">
        <v>47.090495427449518</v>
      </c>
      <c r="O352" s="401">
        <v>45.652584966023745</v>
      </c>
      <c r="P352" s="401">
        <v>46.854565048217744</v>
      </c>
      <c r="Q352" s="402">
        <v>47.47245678838091</v>
      </c>
    </row>
    <row r="353" spans="2:17" x14ac:dyDescent="0.25">
      <c r="B353" s="54">
        <v>7</v>
      </c>
      <c r="C353" s="55">
        <v>3</v>
      </c>
      <c r="D353" s="56" t="s">
        <v>193</v>
      </c>
      <c r="E353" s="400">
        <v>2.675096351413095</v>
      </c>
      <c r="F353" s="401">
        <v>2.6818452374177526</v>
      </c>
      <c r="G353" s="401">
        <v>2.6920502799003794</v>
      </c>
      <c r="H353" s="401">
        <v>2.680693411512165</v>
      </c>
      <c r="I353" s="401">
        <v>2.703178451333573</v>
      </c>
      <c r="J353" s="401">
        <v>2.1666422931371834</v>
      </c>
      <c r="K353" s="401">
        <v>2.4946759501074176</v>
      </c>
      <c r="L353" s="401">
        <v>3.0485377148685382</v>
      </c>
      <c r="M353" s="401">
        <v>1.9727584739572497</v>
      </c>
      <c r="N353" s="401">
        <v>2.1098695342264779</v>
      </c>
      <c r="O353" s="401">
        <v>1.4445684654544144</v>
      </c>
      <c r="P353" s="401">
        <v>2.706733824026712</v>
      </c>
      <c r="Q353" s="402">
        <v>2.5499727284528624</v>
      </c>
    </row>
    <row r="354" spans="2:17" x14ac:dyDescent="0.25">
      <c r="B354" s="54">
        <v>7</v>
      </c>
      <c r="C354" s="55">
        <v>3</v>
      </c>
      <c r="D354" s="56" t="s">
        <v>194</v>
      </c>
      <c r="E354" s="400">
        <v>-0.35212292926850625</v>
      </c>
      <c r="F354" s="401">
        <v>-0.35307393207416715</v>
      </c>
      <c r="G354" s="401">
        <v>-0.35434047658960349</v>
      </c>
      <c r="H354" s="401">
        <v>-0.35288658508887699</v>
      </c>
      <c r="I354" s="401">
        <v>-0.36068010885954505</v>
      </c>
      <c r="J354" s="401">
        <v>-0.31114010877542619</v>
      </c>
      <c r="K354" s="401">
        <v>-0.33976803348336793</v>
      </c>
      <c r="L354" s="401">
        <v>-0.42032658470260598</v>
      </c>
      <c r="M354" s="401">
        <v>-0.31368066492058527</v>
      </c>
      <c r="N354" s="401">
        <v>-0.30428820945722018</v>
      </c>
      <c r="O354" s="401">
        <v>-0.22144787961786486</v>
      </c>
      <c r="P354" s="401">
        <v>-0.37682903174198101</v>
      </c>
      <c r="Q354" s="402">
        <v>-0.34332772874609935</v>
      </c>
    </row>
    <row r="355" spans="2:17" x14ac:dyDescent="0.25">
      <c r="B355" s="78">
        <v>7</v>
      </c>
      <c r="C355" s="79">
        <v>3</v>
      </c>
      <c r="D355" s="147" t="s">
        <v>195</v>
      </c>
      <c r="E355" s="403">
        <v>9.9338002230830395E-3</v>
      </c>
      <c r="F355" s="404">
        <v>9.9613926812670787E-3</v>
      </c>
      <c r="G355" s="404">
        <v>9.9967677369077138E-3</v>
      </c>
      <c r="H355" s="404">
        <v>9.9557152809611506E-3</v>
      </c>
      <c r="I355" s="404">
        <v>1.0302168228131651E-2</v>
      </c>
      <c r="J355" s="404">
        <v>9.2592387581019991E-3</v>
      </c>
      <c r="K355" s="404">
        <v>9.8217052364868232E-3</v>
      </c>
      <c r="L355" s="404">
        <v>1.2536993300905531E-2</v>
      </c>
      <c r="M355" s="404">
        <v>9.9879079024367736E-3</v>
      </c>
      <c r="N355" s="404">
        <v>9.0732569831605287E-3</v>
      </c>
      <c r="O355" s="404">
        <v>6.7817972163961519E-3</v>
      </c>
      <c r="P355" s="404">
        <v>1.1256108380327343E-2</v>
      </c>
      <c r="Q355" s="405">
        <v>9.8467291392554095E-3</v>
      </c>
    </row>
    <row r="358" spans="2:17" x14ac:dyDescent="0.25">
      <c r="B358" s="252" t="s">
        <v>482</v>
      </c>
    </row>
    <row r="360" spans="2:17" x14ac:dyDescent="0.25">
      <c r="B360" s="106" t="s">
        <v>477</v>
      </c>
    </row>
    <row r="361" spans="2:17" x14ac:dyDescent="0.25">
      <c r="B361" s="108" t="s">
        <v>33</v>
      </c>
      <c r="C361" s="88" t="s">
        <v>476</v>
      </c>
      <c r="D361" s="88" t="s">
        <v>757</v>
      </c>
      <c r="E361" s="16" t="s">
        <v>839</v>
      </c>
      <c r="F361" s="17"/>
      <c r="G361" s="17"/>
      <c r="H361" s="17"/>
      <c r="I361" s="18"/>
    </row>
    <row r="362" spans="2:17" x14ac:dyDescent="0.25">
      <c r="B362" s="110" t="s">
        <v>0</v>
      </c>
      <c r="C362" s="90" t="s">
        <v>776</v>
      </c>
      <c r="D362" s="90" t="s">
        <v>490</v>
      </c>
      <c r="E362" s="87" t="s">
        <v>474</v>
      </c>
      <c r="F362" s="67" t="s">
        <v>475</v>
      </c>
      <c r="G362" s="67" t="s">
        <v>188</v>
      </c>
      <c r="H362" s="67" t="s">
        <v>189</v>
      </c>
      <c r="I362" s="82" t="s">
        <v>190</v>
      </c>
    </row>
    <row r="363" spans="2:17" x14ac:dyDescent="0.25">
      <c r="B363" s="192" t="s">
        <v>467</v>
      </c>
      <c r="C363" s="171">
        <v>1</v>
      </c>
      <c r="D363" s="272">
        <v>0.02</v>
      </c>
      <c r="E363" s="218"/>
      <c r="F363" s="131"/>
      <c r="G363" s="131"/>
      <c r="H363" s="131"/>
      <c r="I363" s="130"/>
    </row>
    <row r="364" spans="2:17" x14ac:dyDescent="0.25">
      <c r="B364" s="192" t="s">
        <v>468</v>
      </c>
      <c r="C364" s="163">
        <v>3</v>
      </c>
      <c r="D364" s="273"/>
      <c r="E364" s="176">
        <v>1</v>
      </c>
      <c r="F364" s="154">
        <v>1</v>
      </c>
      <c r="G364" s="154">
        <v>134</v>
      </c>
      <c r="H364" s="154">
        <v>0.79469999999999996</v>
      </c>
      <c r="I364" s="155">
        <v>5.4000000000000003E-3</v>
      </c>
    </row>
    <row r="365" spans="2:17" x14ac:dyDescent="0.25">
      <c r="B365" s="192" t="s">
        <v>469</v>
      </c>
      <c r="C365" s="163">
        <v>3</v>
      </c>
      <c r="D365" s="273"/>
      <c r="E365" s="176">
        <v>1</v>
      </c>
      <c r="F365" s="154">
        <v>1</v>
      </c>
      <c r="G365" s="154">
        <v>134</v>
      </c>
      <c r="H365" s="154">
        <v>0.79469999999999996</v>
      </c>
      <c r="I365" s="155">
        <v>5.4000000000000003E-3</v>
      </c>
    </row>
    <row r="366" spans="2:17" x14ac:dyDescent="0.25">
      <c r="B366" s="192" t="s">
        <v>72</v>
      </c>
      <c r="C366" s="165">
        <v>1</v>
      </c>
      <c r="D366" s="273">
        <v>0.1</v>
      </c>
      <c r="E366" s="132"/>
      <c r="F366" s="44"/>
      <c r="G366" s="44"/>
      <c r="H366" s="44"/>
      <c r="I366" s="129"/>
    </row>
    <row r="367" spans="2:17" x14ac:dyDescent="0.25">
      <c r="B367" s="192" t="s">
        <v>157</v>
      </c>
      <c r="C367" s="165">
        <v>1</v>
      </c>
      <c r="D367" s="273">
        <v>0.1</v>
      </c>
      <c r="E367" s="132"/>
      <c r="F367" s="44"/>
      <c r="G367" s="44"/>
      <c r="H367" s="44"/>
      <c r="I367" s="129"/>
    </row>
    <row r="368" spans="2:17" x14ac:dyDescent="0.25">
      <c r="B368" s="192" t="s">
        <v>470</v>
      </c>
      <c r="C368" s="165">
        <v>1</v>
      </c>
      <c r="D368" s="273">
        <v>0.05</v>
      </c>
      <c r="E368" s="132"/>
      <c r="F368" s="44"/>
      <c r="G368" s="44"/>
      <c r="H368" s="44"/>
      <c r="I368" s="129"/>
    </row>
    <row r="369" spans="2:9" x14ac:dyDescent="0.25">
      <c r="B369" s="110" t="s">
        <v>472</v>
      </c>
      <c r="C369" s="166">
        <v>1</v>
      </c>
      <c r="D369" s="274">
        <v>0.05</v>
      </c>
      <c r="E369" s="271"/>
      <c r="F369" s="75"/>
      <c r="G369" s="75"/>
      <c r="H369" s="75"/>
      <c r="I369" s="133"/>
    </row>
    <row r="372" spans="2:9" x14ac:dyDescent="0.25">
      <c r="B372" s="252" t="s">
        <v>483</v>
      </c>
    </row>
    <row r="374" spans="2:9" x14ac:dyDescent="0.25">
      <c r="B374" s="100" t="s">
        <v>295</v>
      </c>
    </row>
    <row r="375" spans="2:9" x14ac:dyDescent="0.25">
      <c r="B375" s="88" t="s">
        <v>33</v>
      </c>
      <c r="C375" s="29" t="s">
        <v>30</v>
      </c>
      <c r="D375" s="29" t="s">
        <v>6</v>
      </c>
      <c r="E375" s="85" t="s">
        <v>779</v>
      </c>
      <c r="F375" s="85" t="s">
        <v>779</v>
      </c>
      <c r="G375" s="248" t="s">
        <v>781</v>
      </c>
      <c r="H375" s="18"/>
      <c r="I375" s="32" t="s">
        <v>777</v>
      </c>
    </row>
    <row r="376" spans="2:9" x14ac:dyDescent="0.25">
      <c r="B376" s="90" t="s">
        <v>0</v>
      </c>
      <c r="C376" s="45" t="s">
        <v>34</v>
      </c>
      <c r="D376" s="45" t="s">
        <v>34</v>
      </c>
      <c r="E376" s="87" t="s">
        <v>778</v>
      </c>
      <c r="F376" s="87" t="s">
        <v>780</v>
      </c>
      <c r="G376" s="90" t="s">
        <v>224</v>
      </c>
      <c r="H376" s="90" t="s">
        <v>225</v>
      </c>
      <c r="I376" s="90" t="s">
        <v>464</v>
      </c>
    </row>
    <row r="377" spans="2:9" x14ac:dyDescent="0.25">
      <c r="B377" s="86">
        <v>1</v>
      </c>
      <c r="C377" s="85">
        <v>1</v>
      </c>
      <c r="D377" s="32">
        <v>1</v>
      </c>
      <c r="E377" s="152">
        <v>10</v>
      </c>
      <c r="F377" s="181">
        <v>2</v>
      </c>
      <c r="G377" s="181"/>
      <c r="H377" s="153"/>
      <c r="I377" s="249">
        <v>1</v>
      </c>
    </row>
    <row r="378" spans="2:9" x14ac:dyDescent="0.25">
      <c r="B378" s="86">
        <v>1</v>
      </c>
      <c r="C378" s="86">
        <v>1</v>
      </c>
      <c r="D378" s="49">
        <v>2</v>
      </c>
      <c r="E378" s="154">
        <v>10</v>
      </c>
      <c r="F378" s="163">
        <v>2</v>
      </c>
      <c r="G378" s="163"/>
      <c r="H378" s="155"/>
      <c r="I378" s="250">
        <v>1</v>
      </c>
    </row>
    <row r="379" spans="2:9" x14ac:dyDescent="0.25">
      <c r="B379" s="86">
        <v>1</v>
      </c>
      <c r="C379" s="86">
        <v>1</v>
      </c>
      <c r="D379" s="49">
        <v>3</v>
      </c>
      <c r="E379" s="154">
        <v>10</v>
      </c>
      <c r="F379" s="163">
        <v>2</v>
      </c>
      <c r="G379" s="163">
        <v>2</v>
      </c>
      <c r="H379" s="155">
        <v>1</v>
      </c>
      <c r="I379" s="250">
        <v>1</v>
      </c>
    </row>
    <row r="380" spans="2:9" x14ac:dyDescent="0.25">
      <c r="B380" s="86">
        <v>1</v>
      </c>
      <c r="C380" s="86">
        <v>1</v>
      </c>
      <c r="D380" s="49">
        <v>4</v>
      </c>
      <c r="E380" s="154">
        <v>10</v>
      </c>
      <c r="F380" s="163">
        <v>2</v>
      </c>
      <c r="G380" s="163">
        <v>2</v>
      </c>
      <c r="H380" s="155">
        <v>1</v>
      </c>
      <c r="I380" s="250">
        <v>1</v>
      </c>
    </row>
    <row r="381" spans="2:9" x14ac:dyDescent="0.25">
      <c r="B381" s="86">
        <v>1</v>
      </c>
      <c r="C381" s="87">
        <v>1</v>
      </c>
      <c r="D381" s="82">
        <v>5</v>
      </c>
      <c r="E381" s="156">
        <v>10</v>
      </c>
      <c r="F381" s="179">
        <v>2</v>
      </c>
      <c r="G381" s="179">
        <v>2</v>
      </c>
      <c r="H381" s="157">
        <v>1</v>
      </c>
      <c r="I381" s="251">
        <v>1</v>
      </c>
    </row>
    <row r="382" spans="2:9" x14ac:dyDescent="0.25">
      <c r="B382" s="86">
        <v>1</v>
      </c>
      <c r="C382" s="85">
        <v>2</v>
      </c>
      <c r="D382" s="32">
        <v>1</v>
      </c>
      <c r="E382" s="152">
        <v>10</v>
      </c>
      <c r="F382" s="181">
        <v>2</v>
      </c>
      <c r="G382" s="181"/>
      <c r="H382" s="153"/>
      <c r="I382" s="249">
        <v>1</v>
      </c>
    </row>
    <row r="383" spans="2:9" x14ac:dyDescent="0.25">
      <c r="B383" s="86">
        <v>1</v>
      </c>
      <c r="C383" s="86">
        <v>2</v>
      </c>
      <c r="D383" s="49">
        <v>2</v>
      </c>
      <c r="E383" s="154">
        <v>10</v>
      </c>
      <c r="F383" s="163">
        <v>2</v>
      </c>
      <c r="G383" s="163">
        <v>2</v>
      </c>
      <c r="H383" s="155">
        <v>1</v>
      </c>
      <c r="I383" s="250">
        <v>1</v>
      </c>
    </row>
    <row r="384" spans="2:9" x14ac:dyDescent="0.25">
      <c r="B384" s="86">
        <v>1</v>
      </c>
      <c r="C384" s="86">
        <v>2</v>
      </c>
      <c r="D384" s="49">
        <v>3</v>
      </c>
      <c r="E384" s="154">
        <v>10</v>
      </c>
      <c r="F384" s="163">
        <v>2</v>
      </c>
      <c r="G384" s="163">
        <v>2</v>
      </c>
      <c r="H384" s="155">
        <v>1</v>
      </c>
      <c r="I384" s="250">
        <v>1</v>
      </c>
    </row>
    <row r="385" spans="2:9" x14ac:dyDescent="0.25">
      <c r="B385" s="86">
        <v>1</v>
      </c>
      <c r="C385" s="86">
        <v>2</v>
      </c>
      <c r="D385" s="49">
        <v>4</v>
      </c>
      <c r="E385" s="154">
        <v>10</v>
      </c>
      <c r="F385" s="163">
        <v>2</v>
      </c>
      <c r="G385" s="163">
        <v>2</v>
      </c>
      <c r="H385" s="155">
        <v>1</v>
      </c>
      <c r="I385" s="250">
        <v>1</v>
      </c>
    </row>
    <row r="386" spans="2:9" x14ac:dyDescent="0.25">
      <c r="B386" s="86">
        <v>1</v>
      </c>
      <c r="C386" s="87">
        <v>2</v>
      </c>
      <c r="D386" s="82">
        <v>5</v>
      </c>
      <c r="E386" s="156">
        <v>10</v>
      </c>
      <c r="F386" s="179">
        <v>2</v>
      </c>
      <c r="G386" s="179">
        <v>2</v>
      </c>
      <c r="H386" s="157">
        <v>1</v>
      </c>
      <c r="I386" s="251">
        <v>1</v>
      </c>
    </row>
    <row r="387" spans="2:9" x14ac:dyDescent="0.25">
      <c r="B387" s="86">
        <v>1</v>
      </c>
      <c r="C387" s="86">
        <v>3</v>
      </c>
      <c r="D387" s="49">
        <v>1</v>
      </c>
      <c r="E387" s="152">
        <v>10</v>
      </c>
      <c r="F387" s="181">
        <v>2</v>
      </c>
      <c r="G387" s="181"/>
      <c r="H387" s="153"/>
      <c r="I387" s="249">
        <v>1</v>
      </c>
    </row>
    <row r="388" spans="2:9" x14ac:dyDescent="0.25">
      <c r="B388" s="86">
        <v>1</v>
      </c>
      <c r="C388" s="86">
        <v>3</v>
      </c>
      <c r="D388" s="49">
        <v>2</v>
      </c>
      <c r="E388" s="154">
        <v>10</v>
      </c>
      <c r="F388" s="163">
        <v>2</v>
      </c>
      <c r="G388" s="163">
        <v>2</v>
      </c>
      <c r="H388" s="155">
        <v>1</v>
      </c>
      <c r="I388" s="250">
        <v>1</v>
      </c>
    </row>
    <row r="389" spans="2:9" x14ac:dyDescent="0.25">
      <c r="B389" s="86">
        <v>1</v>
      </c>
      <c r="C389" s="86">
        <v>3</v>
      </c>
      <c r="D389" s="49">
        <v>3</v>
      </c>
      <c r="E389" s="154">
        <v>10</v>
      </c>
      <c r="F389" s="163">
        <v>2</v>
      </c>
      <c r="G389" s="163">
        <v>2</v>
      </c>
      <c r="H389" s="155">
        <v>1</v>
      </c>
      <c r="I389" s="250">
        <v>1</v>
      </c>
    </row>
    <row r="390" spans="2:9" x14ac:dyDescent="0.25">
      <c r="B390" s="86">
        <v>1</v>
      </c>
      <c r="C390" s="86">
        <v>3</v>
      </c>
      <c r="D390" s="49">
        <v>4</v>
      </c>
      <c r="E390" s="154">
        <v>10</v>
      </c>
      <c r="F390" s="163">
        <v>2</v>
      </c>
      <c r="G390" s="163">
        <v>2</v>
      </c>
      <c r="H390" s="155">
        <v>1</v>
      </c>
      <c r="I390" s="250">
        <v>1</v>
      </c>
    </row>
    <row r="391" spans="2:9" x14ac:dyDescent="0.25">
      <c r="B391" s="86">
        <v>1</v>
      </c>
      <c r="C391" s="86">
        <v>3</v>
      </c>
      <c r="D391" s="49">
        <v>5</v>
      </c>
      <c r="E391" s="156">
        <v>10</v>
      </c>
      <c r="F391" s="179">
        <v>2</v>
      </c>
      <c r="G391" s="179">
        <v>2</v>
      </c>
      <c r="H391" s="157">
        <v>1</v>
      </c>
      <c r="I391" s="251">
        <v>1</v>
      </c>
    </row>
    <row r="392" spans="2:9" x14ac:dyDescent="0.25">
      <c r="B392" s="86">
        <v>1</v>
      </c>
      <c r="C392" s="85">
        <v>4</v>
      </c>
      <c r="D392" s="32">
        <v>1</v>
      </c>
      <c r="E392" s="152">
        <v>10</v>
      </c>
      <c r="F392" s="181">
        <v>2</v>
      </c>
      <c r="G392" s="181"/>
      <c r="H392" s="153"/>
      <c r="I392" s="249">
        <v>1</v>
      </c>
    </row>
    <row r="393" spans="2:9" x14ac:dyDescent="0.25">
      <c r="B393" s="86">
        <v>1</v>
      </c>
      <c r="C393" s="86">
        <v>4</v>
      </c>
      <c r="D393" s="49">
        <v>2</v>
      </c>
      <c r="E393" s="154">
        <v>10</v>
      </c>
      <c r="F393" s="163">
        <v>2</v>
      </c>
      <c r="G393" s="163">
        <v>2</v>
      </c>
      <c r="H393" s="155">
        <v>1</v>
      </c>
      <c r="I393" s="250">
        <v>1</v>
      </c>
    </row>
    <row r="394" spans="2:9" x14ac:dyDescent="0.25">
      <c r="B394" s="86">
        <v>1</v>
      </c>
      <c r="C394" s="86">
        <v>4</v>
      </c>
      <c r="D394" s="49">
        <v>3</v>
      </c>
      <c r="E394" s="154">
        <v>10</v>
      </c>
      <c r="F394" s="163">
        <v>2</v>
      </c>
      <c r="G394" s="163">
        <v>2</v>
      </c>
      <c r="H394" s="155">
        <v>1</v>
      </c>
      <c r="I394" s="250">
        <v>1</v>
      </c>
    </row>
    <row r="395" spans="2:9" x14ac:dyDescent="0.25">
      <c r="B395" s="86">
        <v>1</v>
      </c>
      <c r="C395" s="86">
        <v>4</v>
      </c>
      <c r="D395" s="49">
        <v>4</v>
      </c>
      <c r="E395" s="154">
        <v>10</v>
      </c>
      <c r="F395" s="163">
        <v>2</v>
      </c>
      <c r="G395" s="163">
        <v>2</v>
      </c>
      <c r="H395" s="155">
        <v>1</v>
      </c>
      <c r="I395" s="250">
        <v>1</v>
      </c>
    </row>
    <row r="396" spans="2:9" x14ac:dyDescent="0.25">
      <c r="B396" s="86">
        <v>1</v>
      </c>
      <c r="C396" s="87">
        <v>4</v>
      </c>
      <c r="D396" s="82">
        <v>5</v>
      </c>
      <c r="E396" s="156">
        <v>10</v>
      </c>
      <c r="F396" s="179">
        <v>2</v>
      </c>
      <c r="G396" s="179">
        <v>2</v>
      </c>
      <c r="H396" s="157">
        <v>1</v>
      </c>
      <c r="I396" s="251">
        <v>1</v>
      </c>
    </row>
    <row r="397" spans="2:9" x14ac:dyDescent="0.25">
      <c r="B397" s="86">
        <v>1</v>
      </c>
      <c r="C397" s="86">
        <v>5</v>
      </c>
      <c r="D397" s="49">
        <v>1</v>
      </c>
      <c r="E397" s="152">
        <v>10</v>
      </c>
      <c r="F397" s="181">
        <v>2</v>
      </c>
      <c r="G397" s="181"/>
      <c r="H397" s="153"/>
      <c r="I397" s="249">
        <v>1</v>
      </c>
    </row>
    <row r="398" spans="2:9" x14ac:dyDescent="0.25">
      <c r="B398" s="86">
        <v>1</v>
      </c>
      <c r="C398" s="86">
        <v>5</v>
      </c>
      <c r="D398" s="49">
        <v>2</v>
      </c>
      <c r="E398" s="154">
        <v>10</v>
      </c>
      <c r="F398" s="163">
        <v>2</v>
      </c>
      <c r="G398" s="163">
        <v>2</v>
      </c>
      <c r="H398" s="155">
        <v>1</v>
      </c>
      <c r="I398" s="250">
        <v>1</v>
      </c>
    </row>
    <row r="399" spans="2:9" x14ac:dyDescent="0.25">
      <c r="B399" s="86">
        <v>1</v>
      </c>
      <c r="C399" s="86">
        <v>5</v>
      </c>
      <c r="D399" s="49">
        <v>3</v>
      </c>
      <c r="E399" s="154">
        <v>10</v>
      </c>
      <c r="F399" s="163">
        <v>2</v>
      </c>
      <c r="G399" s="163">
        <v>2</v>
      </c>
      <c r="H399" s="155">
        <v>1</v>
      </c>
      <c r="I399" s="250">
        <v>1</v>
      </c>
    </row>
    <row r="400" spans="2:9" x14ac:dyDescent="0.25">
      <c r="B400" s="86">
        <v>1</v>
      </c>
      <c r="C400" s="86">
        <v>5</v>
      </c>
      <c r="D400" s="49">
        <v>4</v>
      </c>
      <c r="E400" s="154">
        <v>10</v>
      </c>
      <c r="F400" s="163">
        <v>2</v>
      </c>
      <c r="G400" s="163">
        <v>2</v>
      </c>
      <c r="H400" s="155">
        <v>1</v>
      </c>
      <c r="I400" s="250">
        <v>1</v>
      </c>
    </row>
    <row r="401" spans="2:9" x14ac:dyDescent="0.25">
      <c r="B401" s="89">
        <v>1</v>
      </c>
      <c r="C401" s="87">
        <v>5</v>
      </c>
      <c r="D401" s="82">
        <v>5</v>
      </c>
      <c r="E401" s="156">
        <v>10</v>
      </c>
      <c r="F401" s="179">
        <v>2</v>
      </c>
      <c r="G401" s="179">
        <v>2</v>
      </c>
      <c r="H401" s="157">
        <v>1</v>
      </c>
      <c r="I401" s="251">
        <v>1</v>
      </c>
    </row>
    <row r="402" spans="2:9" x14ac:dyDescent="0.25">
      <c r="B402" s="86">
        <v>1</v>
      </c>
      <c r="C402" s="85">
        <v>6</v>
      </c>
      <c r="D402" s="32">
        <v>1</v>
      </c>
      <c r="E402" s="152">
        <v>10</v>
      </c>
      <c r="F402" s="181">
        <v>2</v>
      </c>
      <c r="G402" s="181"/>
      <c r="H402" s="153"/>
      <c r="I402" s="249">
        <v>1</v>
      </c>
    </row>
    <row r="403" spans="2:9" x14ac:dyDescent="0.25">
      <c r="B403" s="86">
        <v>1</v>
      </c>
      <c r="C403" s="86">
        <v>6</v>
      </c>
      <c r="D403" s="49">
        <v>2</v>
      </c>
      <c r="E403" s="154">
        <v>10</v>
      </c>
      <c r="F403" s="163">
        <v>2</v>
      </c>
      <c r="G403" s="163">
        <v>2</v>
      </c>
      <c r="H403" s="155">
        <v>1</v>
      </c>
      <c r="I403" s="250">
        <v>1</v>
      </c>
    </row>
    <row r="404" spans="2:9" x14ac:dyDescent="0.25">
      <c r="B404" s="86">
        <v>1</v>
      </c>
      <c r="C404" s="86">
        <v>6</v>
      </c>
      <c r="D404" s="49">
        <v>3</v>
      </c>
      <c r="E404" s="154">
        <v>10</v>
      </c>
      <c r="F404" s="163">
        <v>2</v>
      </c>
      <c r="G404" s="163">
        <v>2</v>
      </c>
      <c r="H404" s="155">
        <v>1</v>
      </c>
      <c r="I404" s="250">
        <v>1</v>
      </c>
    </row>
    <row r="405" spans="2:9" x14ac:dyDescent="0.25">
      <c r="B405" s="86">
        <v>1</v>
      </c>
      <c r="C405" s="86">
        <v>6</v>
      </c>
      <c r="D405" s="49">
        <v>4</v>
      </c>
      <c r="E405" s="154">
        <v>10</v>
      </c>
      <c r="F405" s="163">
        <v>2</v>
      </c>
      <c r="G405" s="163">
        <v>2</v>
      </c>
      <c r="H405" s="155">
        <v>1</v>
      </c>
      <c r="I405" s="250">
        <v>1</v>
      </c>
    </row>
    <row r="406" spans="2:9" x14ac:dyDescent="0.25">
      <c r="B406" s="86">
        <v>1</v>
      </c>
      <c r="C406" s="87">
        <v>6</v>
      </c>
      <c r="D406" s="82">
        <v>5</v>
      </c>
      <c r="E406" s="156">
        <v>10</v>
      </c>
      <c r="F406" s="179">
        <v>2</v>
      </c>
      <c r="G406" s="179">
        <v>2</v>
      </c>
      <c r="H406" s="157">
        <v>1</v>
      </c>
      <c r="I406" s="251">
        <v>1</v>
      </c>
    </row>
    <row r="407" spans="2:9" x14ac:dyDescent="0.25">
      <c r="B407" s="86">
        <v>1</v>
      </c>
      <c r="C407" s="85">
        <v>7</v>
      </c>
      <c r="D407" s="32">
        <v>1</v>
      </c>
      <c r="E407" s="152">
        <v>10</v>
      </c>
      <c r="F407" s="181">
        <v>2</v>
      </c>
      <c r="G407" s="181"/>
      <c r="H407" s="153"/>
      <c r="I407" s="249">
        <v>1</v>
      </c>
    </row>
    <row r="408" spans="2:9" x14ac:dyDescent="0.25">
      <c r="B408" s="86">
        <v>1</v>
      </c>
      <c r="C408" s="86">
        <v>7</v>
      </c>
      <c r="D408" s="49">
        <v>2</v>
      </c>
      <c r="E408" s="154">
        <v>10</v>
      </c>
      <c r="F408" s="163">
        <v>2</v>
      </c>
      <c r="G408" s="163">
        <v>2</v>
      </c>
      <c r="H408" s="155">
        <v>1</v>
      </c>
      <c r="I408" s="250">
        <v>1</v>
      </c>
    </row>
    <row r="409" spans="2:9" x14ac:dyDescent="0.25">
      <c r="B409" s="86">
        <v>1</v>
      </c>
      <c r="C409" s="86">
        <v>7</v>
      </c>
      <c r="D409" s="49">
        <v>3</v>
      </c>
      <c r="E409" s="154">
        <v>10</v>
      </c>
      <c r="F409" s="163">
        <v>2</v>
      </c>
      <c r="G409" s="163">
        <v>2</v>
      </c>
      <c r="H409" s="155">
        <v>1</v>
      </c>
      <c r="I409" s="250">
        <v>1</v>
      </c>
    </row>
    <row r="410" spans="2:9" x14ac:dyDescent="0.25">
      <c r="B410" s="86">
        <v>1</v>
      </c>
      <c r="C410" s="86">
        <v>7</v>
      </c>
      <c r="D410" s="49">
        <v>4</v>
      </c>
      <c r="E410" s="154">
        <v>10</v>
      </c>
      <c r="F410" s="163">
        <v>2</v>
      </c>
      <c r="G410" s="163">
        <v>2</v>
      </c>
      <c r="H410" s="155">
        <v>1</v>
      </c>
      <c r="I410" s="250">
        <v>1</v>
      </c>
    </row>
    <row r="411" spans="2:9" x14ac:dyDescent="0.25">
      <c r="B411" s="86">
        <v>1</v>
      </c>
      <c r="C411" s="87">
        <v>7</v>
      </c>
      <c r="D411" s="82">
        <v>5</v>
      </c>
      <c r="E411" s="156">
        <v>10</v>
      </c>
      <c r="F411" s="179">
        <v>2</v>
      </c>
      <c r="G411" s="179">
        <v>2</v>
      </c>
      <c r="H411" s="157">
        <v>1</v>
      </c>
      <c r="I411" s="251">
        <v>1</v>
      </c>
    </row>
    <row r="412" spans="2:9" x14ac:dyDescent="0.25">
      <c r="B412" s="86">
        <v>1</v>
      </c>
      <c r="C412" s="86">
        <v>8</v>
      </c>
      <c r="D412" s="49">
        <v>1</v>
      </c>
      <c r="E412" s="152">
        <v>10</v>
      </c>
      <c r="F412" s="181">
        <v>2</v>
      </c>
      <c r="G412" s="181"/>
      <c r="H412" s="153"/>
      <c r="I412" s="249">
        <v>1</v>
      </c>
    </row>
    <row r="413" spans="2:9" x14ac:dyDescent="0.25">
      <c r="B413" s="86">
        <v>1</v>
      </c>
      <c r="C413" s="86">
        <v>8</v>
      </c>
      <c r="D413" s="49">
        <v>2</v>
      </c>
      <c r="E413" s="154">
        <v>10</v>
      </c>
      <c r="F413" s="163">
        <v>2</v>
      </c>
      <c r="G413" s="163">
        <v>2</v>
      </c>
      <c r="H413" s="155">
        <v>1</v>
      </c>
      <c r="I413" s="250">
        <v>1</v>
      </c>
    </row>
    <row r="414" spans="2:9" x14ac:dyDescent="0.25">
      <c r="B414" s="86">
        <v>1</v>
      </c>
      <c r="C414" s="86">
        <v>8</v>
      </c>
      <c r="D414" s="49">
        <v>3</v>
      </c>
      <c r="E414" s="154">
        <v>10</v>
      </c>
      <c r="F414" s="163">
        <v>2</v>
      </c>
      <c r="G414" s="163">
        <v>2</v>
      </c>
      <c r="H414" s="155">
        <v>1</v>
      </c>
      <c r="I414" s="250">
        <v>1</v>
      </c>
    </row>
    <row r="415" spans="2:9" x14ac:dyDescent="0.25">
      <c r="B415" s="86">
        <v>1</v>
      </c>
      <c r="C415" s="86">
        <v>8</v>
      </c>
      <c r="D415" s="49">
        <v>4</v>
      </c>
      <c r="E415" s="154">
        <v>10</v>
      </c>
      <c r="F415" s="163">
        <v>2</v>
      </c>
      <c r="G415" s="163">
        <v>2</v>
      </c>
      <c r="H415" s="155">
        <v>1</v>
      </c>
      <c r="I415" s="250">
        <v>1</v>
      </c>
    </row>
    <row r="416" spans="2:9" x14ac:dyDescent="0.25">
      <c r="B416" s="86">
        <v>1</v>
      </c>
      <c r="C416" s="86">
        <v>8</v>
      </c>
      <c r="D416" s="49">
        <v>5</v>
      </c>
      <c r="E416" s="156">
        <v>10</v>
      </c>
      <c r="F416" s="179">
        <v>2</v>
      </c>
      <c r="G416" s="179">
        <v>2</v>
      </c>
      <c r="H416" s="157">
        <v>1</v>
      </c>
      <c r="I416" s="251">
        <v>1</v>
      </c>
    </row>
    <row r="417" spans="2:9" x14ac:dyDescent="0.25">
      <c r="B417" s="86">
        <v>1</v>
      </c>
      <c r="C417" s="85">
        <v>9</v>
      </c>
      <c r="D417" s="32">
        <v>1</v>
      </c>
      <c r="E417" s="152">
        <v>10</v>
      </c>
      <c r="F417" s="181">
        <v>2</v>
      </c>
      <c r="G417" s="181"/>
      <c r="H417" s="153"/>
      <c r="I417" s="249">
        <v>1</v>
      </c>
    </row>
    <row r="418" spans="2:9" x14ac:dyDescent="0.25">
      <c r="B418" s="86">
        <v>1</v>
      </c>
      <c r="C418" s="86">
        <v>9</v>
      </c>
      <c r="D418" s="49">
        <v>2</v>
      </c>
      <c r="E418" s="154">
        <v>10</v>
      </c>
      <c r="F418" s="163">
        <v>2</v>
      </c>
      <c r="G418" s="163">
        <v>2</v>
      </c>
      <c r="H418" s="155">
        <v>1</v>
      </c>
      <c r="I418" s="250">
        <v>1</v>
      </c>
    </row>
    <row r="419" spans="2:9" x14ac:dyDescent="0.25">
      <c r="B419" s="86">
        <v>1</v>
      </c>
      <c r="C419" s="86">
        <v>9</v>
      </c>
      <c r="D419" s="49">
        <v>3</v>
      </c>
      <c r="E419" s="154">
        <v>10</v>
      </c>
      <c r="F419" s="163">
        <v>2</v>
      </c>
      <c r="G419" s="163">
        <v>2</v>
      </c>
      <c r="H419" s="155">
        <v>1</v>
      </c>
      <c r="I419" s="250">
        <v>1</v>
      </c>
    </row>
    <row r="420" spans="2:9" x14ac:dyDescent="0.25">
      <c r="B420" s="86">
        <v>1</v>
      </c>
      <c r="C420" s="86">
        <v>9</v>
      </c>
      <c r="D420" s="49">
        <v>4</v>
      </c>
      <c r="E420" s="154">
        <v>10</v>
      </c>
      <c r="F420" s="163">
        <v>2</v>
      </c>
      <c r="G420" s="163">
        <v>2</v>
      </c>
      <c r="H420" s="155">
        <v>1</v>
      </c>
      <c r="I420" s="250">
        <v>1</v>
      </c>
    </row>
    <row r="421" spans="2:9" x14ac:dyDescent="0.25">
      <c r="B421" s="86">
        <v>1</v>
      </c>
      <c r="C421" s="87">
        <v>9</v>
      </c>
      <c r="D421" s="82">
        <v>5</v>
      </c>
      <c r="E421" s="156">
        <v>10</v>
      </c>
      <c r="F421" s="179">
        <v>2</v>
      </c>
      <c r="G421" s="179">
        <v>2</v>
      </c>
      <c r="H421" s="157">
        <v>1</v>
      </c>
      <c r="I421" s="251">
        <v>1</v>
      </c>
    </row>
    <row r="422" spans="2:9" x14ac:dyDescent="0.25">
      <c r="B422" s="86">
        <v>1</v>
      </c>
      <c r="C422" s="86">
        <v>10</v>
      </c>
      <c r="D422" s="49">
        <v>1</v>
      </c>
      <c r="E422" s="152">
        <v>10</v>
      </c>
      <c r="F422" s="181">
        <v>2</v>
      </c>
      <c r="G422" s="181"/>
      <c r="H422" s="153"/>
      <c r="I422" s="249">
        <v>1</v>
      </c>
    </row>
    <row r="423" spans="2:9" x14ac:dyDescent="0.25">
      <c r="B423" s="86">
        <v>1</v>
      </c>
      <c r="C423" s="86">
        <v>10</v>
      </c>
      <c r="D423" s="49">
        <v>2</v>
      </c>
      <c r="E423" s="154">
        <v>10</v>
      </c>
      <c r="F423" s="163">
        <v>2</v>
      </c>
      <c r="G423" s="163">
        <v>2</v>
      </c>
      <c r="H423" s="155">
        <v>1</v>
      </c>
      <c r="I423" s="250">
        <v>1</v>
      </c>
    </row>
    <row r="424" spans="2:9" x14ac:dyDescent="0.25">
      <c r="B424" s="86">
        <v>1</v>
      </c>
      <c r="C424" s="86">
        <v>10</v>
      </c>
      <c r="D424" s="49">
        <v>3</v>
      </c>
      <c r="E424" s="154">
        <v>10</v>
      </c>
      <c r="F424" s="163">
        <v>2</v>
      </c>
      <c r="G424" s="163">
        <v>2</v>
      </c>
      <c r="H424" s="155">
        <v>1</v>
      </c>
      <c r="I424" s="250">
        <v>1</v>
      </c>
    </row>
    <row r="425" spans="2:9" x14ac:dyDescent="0.25">
      <c r="B425" s="86">
        <v>1</v>
      </c>
      <c r="C425" s="86">
        <v>10</v>
      </c>
      <c r="D425" s="49">
        <v>4</v>
      </c>
      <c r="E425" s="154">
        <v>10</v>
      </c>
      <c r="F425" s="163">
        <v>2</v>
      </c>
      <c r="G425" s="163">
        <v>2</v>
      </c>
      <c r="H425" s="155">
        <v>1</v>
      </c>
      <c r="I425" s="250">
        <v>1</v>
      </c>
    </row>
    <row r="426" spans="2:9" x14ac:dyDescent="0.25">
      <c r="B426" s="87">
        <v>1</v>
      </c>
      <c r="C426" s="87">
        <v>10</v>
      </c>
      <c r="D426" s="82">
        <v>5</v>
      </c>
      <c r="E426" s="156">
        <v>10</v>
      </c>
      <c r="F426" s="179">
        <v>2</v>
      </c>
      <c r="G426" s="179">
        <v>2</v>
      </c>
      <c r="H426" s="157">
        <v>1</v>
      </c>
      <c r="I426" s="251">
        <v>1</v>
      </c>
    </row>
    <row r="427" spans="2:9" x14ac:dyDescent="0.25">
      <c r="B427" s="86">
        <v>2</v>
      </c>
      <c r="C427" s="85">
        <v>1</v>
      </c>
      <c r="D427" s="32">
        <v>1</v>
      </c>
      <c r="E427" s="152">
        <v>10</v>
      </c>
      <c r="F427" s="181">
        <v>11</v>
      </c>
      <c r="G427" s="181"/>
      <c r="H427" s="153"/>
      <c r="I427" s="249">
        <v>1</v>
      </c>
    </row>
    <row r="428" spans="2:9" x14ac:dyDescent="0.25">
      <c r="B428" s="86">
        <v>2</v>
      </c>
      <c r="C428" s="86">
        <v>1</v>
      </c>
      <c r="D428" s="49">
        <v>2</v>
      </c>
      <c r="E428" s="154">
        <v>10</v>
      </c>
      <c r="F428" s="163">
        <v>11</v>
      </c>
      <c r="G428" s="163">
        <v>5</v>
      </c>
      <c r="H428" s="155">
        <v>4</v>
      </c>
      <c r="I428" s="250">
        <v>1</v>
      </c>
    </row>
    <row r="429" spans="2:9" x14ac:dyDescent="0.25">
      <c r="B429" s="86">
        <v>2</v>
      </c>
      <c r="C429" s="86">
        <v>1</v>
      </c>
      <c r="D429" s="49">
        <v>3</v>
      </c>
      <c r="E429" s="154">
        <v>10</v>
      </c>
      <c r="F429" s="163">
        <v>11</v>
      </c>
      <c r="G429" s="163">
        <v>6</v>
      </c>
      <c r="H429" s="155">
        <v>5</v>
      </c>
      <c r="I429" s="250">
        <v>1</v>
      </c>
    </row>
    <row r="430" spans="2:9" x14ac:dyDescent="0.25">
      <c r="B430" s="86">
        <v>2</v>
      </c>
      <c r="C430" s="86">
        <v>1</v>
      </c>
      <c r="D430" s="49">
        <v>4</v>
      </c>
      <c r="E430" s="154">
        <v>10</v>
      </c>
      <c r="F430" s="163">
        <v>11</v>
      </c>
      <c r="G430" s="163">
        <v>11</v>
      </c>
      <c r="H430" s="155">
        <v>6</v>
      </c>
      <c r="I430" s="250">
        <v>1</v>
      </c>
    </row>
    <row r="431" spans="2:9" x14ac:dyDescent="0.25">
      <c r="B431" s="86">
        <v>2</v>
      </c>
      <c r="C431" s="87">
        <v>1</v>
      </c>
      <c r="D431" s="82">
        <v>5</v>
      </c>
      <c r="E431" s="156">
        <v>10</v>
      </c>
      <c r="F431" s="179">
        <v>11</v>
      </c>
      <c r="G431" s="179">
        <v>11</v>
      </c>
      <c r="H431" s="157"/>
      <c r="I431" s="251">
        <v>1</v>
      </c>
    </row>
    <row r="432" spans="2:9" x14ac:dyDescent="0.25">
      <c r="B432" s="86">
        <v>2</v>
      </c>
      <c r="C432" s="85">
        <v>2</v>
      </c>
      <c r="D432" s="32">
        <v>1</v>
      </c>
      <c r="E432" s="152">
        <v>10</v>
      </c>
      <c r="F432" s="181">
        <v>10</v>
      </c>
      <c r="G432" s="181"/>
      <c r="H432" s="153"/>
      <c r="I432" s="249">
        <v>1</v>
      </c>
    </row>
    <row r="433" spans="2:9" x14ac:dyDescent="0.25">
      <c r="B433" s="86">
        <v>2</v>
      </c>
      <c r="C433" s="86">
        <v>2</v>
      </c>
      <c r="D433" s="49">
        <v>2</v>
      </c>
      <c r="E433" s="154">
        <v>10</v>
      </c>
      <c r="F433" s="163">
        <v>10</v>
      </c>
      <c r="G433" s="163">
        <v>5</v>
      </c>
      <c r="H433" s="155">
        <v>4</v>
      </c>
      <c r="I433" s="250">
        <v>1</v>
      </c>
    </row>
    <row r="434" spans="2:9" x14ac:dyDescent="0.25">
      <c r="B434" s="86">
        <v>2</v>
      </c>
      <c r="C434" s="86">
        <v>2</v>
      </c>
      <c r="D434" s="49">
        <v>3</v>
      </c>
      <c r="E434" s="154">
        <v>10</v>
      </c>
      <c r="F434" s="163">
        <v>10</v>
      </c>
      <c r="G434" s="163">
        <v>5</v>
      </c>
      <c r="H434" s="155">
        <v>4</v>
      </c>
      <c r="I434" s="250">
        <v>1</v>
      </c>
    </row>
    <row r="435" spans="2:9" x14ac:dyDescent="0.25">
      <c r="B435" s="86">
        <v>2</v>
      </c>
      <c r="C435" s="86">
        <v>2</v>
      </c>
      <c r="D435" s="49">
        <v>4</v>
      </c>
      <c r="E435" s="154">
        <v>10</v>
      </c>
      <c r="F435" s="163">
        <v>10</v>
      </c>
      <c r="G435" s="163">
        <v>10</v>
      </c>
      <c r="H435" s="155">
        <v>6</v>
      </c>
      <c r="I435" s="250">
        <v>1</v>
      </c>
    </row>
    <row r="436" spans="2:9" x14ac:dyDescent="0.25">
      <c r="B436" s="86">
        <v>2</v>
      </c>
      <c r="C436" s="87">
        <v>2</v>
      </c>
      <c r="D436" s="82">
        <v>5</v>
      </c>
      <c r="E436" s="156">
        <v>10</v>
      </c>
      <c r="F436" s="179">
        <v>10</v>
      </c>
      <c r="G436" s="179">
        <v>10</v>
      </c>
      <c r="H436" s="157"/>
      <c r="I436" s="251">
        <v>1</v>
      </c>
    </row>
    <row r="437" spans="2:9" x14ac:dyDescent="0.25">
      <c r="B437" s="86">
        <v>2</v>
      </c>
      <c r="C437" s="86">
        <v>3</v>
      </c>
      <c r="D437" s="49">
        <v>1</v>
      </c>
      <c r="E437" s="152">
        <v>10</v>
      </c>
      <c r="F437" s="181">
        <v>9</v>
      </c>
      <c r="G437" s="181"/>
      <c r="H437" s="153"/>
      <c r="I437" s="249">
        <v>1</v>
      </c>
    </row>
    <row r="438" spans="2:9" x14ac:dyDescent="0.25">
      <c r="B438" s="86">
        <v>2</v>
      </c>
      <c r="C438" s="86">
        <v>3</v>
      </c>
      <c r="D438" s="49">
        <v>2</v>
      </c>
      <c r="E438" s="154">
        <v>10</v>
      </c>
      <c r="F438" s="163">
        <v>9</v>
      </c>
      <c r="G438" s="163">
        <v>5</v>
      </c>
      <c r="H438" s="155">
        <v>4</v>
      </c>
      <c r="I438" s="250">
        <v>1</v>
      </c>
    </row>
    <row r="439" spans="2:9" x14ac:dyDescent="0.25">
      <c r="B439" s="86">
        <v>2</v>
      </c>
      <c r="C439" s="86">
        <v>3</v>
      </c>
      <c r="D439" s="49">
        <v>3</v>
      </c>
      <c r="E439" s="154">
        <v>10</v>
      </c>
      <c r="F439" s="163">
        <v>9</v>
      </c>
      <c r="G439" s="163">
        <v>5</v>
      </c>
      <c r="H439" s="155">
        <v>4</v>
      </c>
      <c r="I439" s="250">
        <v>1</v>
      </c>
    </row>
    <row r="440" spans="2:9" x14ac:dyDescent="0.25">
      <c r="B440" s="86">
        <v>2</v>
      </c>
      <c r="C440" s="86">
        <v>3</v>
      </c>
      <c r="D440" s="49">
        <v>4</v>
      </c>
      <c r="E440" s="154">
        <v>10</v>
      </c>
      <c r="F440" s="163">
        <v>9</v>
      </c>
      <c r="G440" s="163">
        <v>9</v>
      </c>
      <c r="H440" s="155">
        <v>6</v>
      </c>
      <c r="I440" s="250">
        <v>1</v>
      </c>
    </row>
    <row r="441" spans="2:9" x14ac:dyDescent="0.25">
      <c r="B441" s="86">
        <v>2</v>
      </c>
      <c r="C441" s="86">
        <v>3</v>
      </c>
      <c r="D441" s="49">
        <v>5</v>
      </c>
      <c r="E441" s="156">
        <v>10</v>
      </c>
      <c r="F441" s="179">
        <v>9</v>
      </c>
      <c r="G441" s="179">
        <v>9</v>
      </c>
      <c r="H441" s="157"/>
      <c r="I441" s="251">
        <v>1</v>
      </c>
    </row>
    <row r="442" spans="2:9" x14ac:dyDescent="0.25">
      <c r="B442" s="86">
        <v>2</v>
      </c>
      <c r="C442" s="85">
        <v>4</v>
      </c>
      <c r="D442" s="32">
        <v>1</v>
      </c>
      <c r="E442" s="152">
        <v>10</v>
      </c>
      <c r="F442" s="181">
        <v>8</v>
      </c>
      <c r="G442" s="181"/>
      <c r="H442" s="153"/>
      <c r="I442" s="249">
        <v>1</v>
      </c>
    </row>
    <row r="443" spans="2:9" x14ac:dyDescent="0.25">
      <c r="B443" s="86">
        <v>2</v>
      </c>
      <c r="C443" s="86">
        <v>4</v>
      </c>
      <c r="D443" s="49">
        <v>2</v>
      </c>
      <c r="E443" s="154">
        <v>10</v>
      </c>
      <c r="F443" s="163">
        <v>8</v>
      </c>
      <c r="G443" s="163">
        <v>5</v>
      </c>
      <c r="H443" s="155">
        <v>4</v>
      </c>
      <c r="I443" s="250">
        <v>1</v>
      </c>
    </row>
    <row r="444" spans="2:9" x14ac:dyDescent="0.25">
      <c r="B444" s="86">
        <v>2</v>
      </c>
      <c r="C444" s="86">
        <v>4</v>
      </c>
      <c r="D444" s="49">
        <v>3</v>
      </c>
      <c r="E444" s="154">
        <v>10</v>
      </c>
      <c r="F444" s="163">
        <v>8</v>
      </c>
      <c r="G444" s="163">
        <v>5</v>
      </c>
      <c r="H444" s="155">
        <v>4</v>
      </c>
      <c r="I444" s="250">
        <v>1</v>
      </c>
    </row>
    <row r="445" spans="2:9" x14ac:dyDescent="0.25">
      <c r="B445" s="86">
        <v>2</v>
      </c>
      <c r="C445" s="86">
        <v>4</v>
      </c>
      <c r="D445" s="49">
        <v>4</v>
      </c>
      <c r="E445" s="154">
        <v>10</v>
      </c>
      <c r="F445" s="163">
        <v>8</v>
      </c>
      <c r="G445" s="163">
        <v>8</v>
      </c>
      <c r="H445" s="155">
        <v>6</v>
      </c>
      <c r="I445" s="250">
        <v>1</v>
      </c>
    </row>
    <row r="446" spans="2:9" x14ac:dyDescent="0.25">
      <c r="B446" s="86">
        <v>2</v>
      </c>
      <c r="C446" s="87">
        <v>4</v>
      </c>
      <c r="D446" s="82">
        <v>5</v>
      </c>
      <c r="E446" s="156">
        <v>10</v>
      </c>
      <c r="F446" s="179">
        <v>8</v>
      </c>
      <c r="G446" s="179">
        <v>8</v>
      </c>
      <c r="H446" s="157"/>
      <c r="I446" s="251">
        <v>1</v>
      </c>
    </row>
    <row r="447" spans="2:9" x14ac:dyDescent="0.25">
      <c r="B447" s="86">
        <v>2</v>
      </c>
      <c r="C447" s="86">
        <v>5</v>
      </c>
      <c r="D447" s="49">
        <v>1</v>
      </c>
      <c r="E447" s="152">
        <v>10</v>
      </c>
      <c r="F447" s="181">
        <v>7</v>
      </c>
      <c r="G447" s="181"/>
      <c r="H447" s="153"/>
      <c r="I447" s="249">
        <v>1</v>
      </c>
    </row>
    <row r="448" spans="2:9" x14ac:dyDescent="0.25">
      <c r="B448" s="86">
        <v>2</v>
      </c>
      <c r="C448" s="86">
        <v>5</v>
      </c>
      <c r="D448" s="49">
        <v>2</v>
      </c>
      <c r="E448" s="154">
        <v>10</v>
      </c>
      <c r="F448" s="163">
        <v>7</v>
      </c>
      <c r="G448" s="163">
        <v>5</v>
      </c>
      <c r="H448" s="155">
        <v>4</v>
      </c>
      <c r="I448" s="250">
        <v>1</v>
      </c>
    </row>
    <row r="449" spans="2:9" x14ac:dyDescent="0.25">
      <c r="B449" s="86">
        <v>2</v>
      </c>
      <c r="C449" s="86">
        <v>5</v>
      </c>
      <c r="D449" s="49">
        <v>3</v>
      </c>
      <c r="E449" s="154">
        <v>10</v>
      </c>
      <c r="F449" s="163">
        <v>7</v>
      </c>
      <c r="G449" s="163">
        <v>5</v>
      </c>
      <c r="H449" s="155">
        <v>4</v>
      </c>
      <c r="I449" s="250">
        <v>1</v>
      </c>
    </row>
    <row r="450" spans="2:9" x14ac:dyDescent="0.25">
      <c r="B450" s="86">
        <v>2</v>
      </c>
      <c r="C450" s="86">
        <v>5</v>
      </c>
      <c r="D450" s="49">
        <v>4</v>
      </c>
      <c r="E450" s="154">
        <v>10</v>
      </c>
      <c r="F450" s="163">
        <v>7</v>
      </c>
      <c r="G450" s="163">
        <v>7</v>
      </c>
      <c r="H450" s="155">
        <v>6</v>
      </c>
      <c r="I450" s="250">
        <v>1</v>
      </c>
    </row>
    <row r="451" spans="2:9" x14ac:dyDescent="0.25">
      <c r="B451" s="89">
        <v>2</v>
      </c>
      <c r="C451" s="87">
        <v>5</v>
      </c>
      <c r="D451" s="82">
        <v>5</v>
      </c>
      <c r="E451" s="156">
        <v>10</v>
      </c>
      <c r="F451" s="179">
        <v>7</v>
      </c>
      <c r="G451" s="179">
        <v>7</v>
      </c>
      <c r="H451" s="157"/>
      <c r="I451" s="251">
        <v>1</v>
      </c>
    </row>
    <row r="452" spans="2:9" x14ac:dyDescent="0.25">
      <c r="B452" s="86">
        <v>2</v>
      </c>
      <c r="C452" s="85">
        <v>6</v>
      </c>
      <c r="D452" s="32">
        <v>1</v>
      </c>
      <c r="E452" s="152">
        <v>10</v>
      </c>
      <c r="F452" s="181">
        <v>7</v>
      </c>
      <c r="G452" s="181"/>
      <c r="H452" s="153"/>
      <c r="I452" s="249">
        <v>1</v>
      </c>
    </row>
    <row r="453" spans="2:9" x14ac:dyDescent="0.25">
      <c r="B453" s="86">
        <v>2</v>
      </c>
      <c r="C453" s="86">
        <v>6</v>
      </c>
      <c r="D453" s="49">
        <v>2</v>
      </c>
      <c r="E453" s="154">
        <v>10</v>
      </c>
      <c r="F453" s="163">
        <v>7</v>
      </c>
      <c r="G453" s="163">
        <v>5</v>
      </c>
      <c r="H453" s="155">
        <v>4</v>
      </c>
      <c r="I453" s="250">
        <v>1</v>
      </c>
    </row>
    <row r="454" spans="2:9" x14ac:dyDescent="0.25">
      <c r="B454" s="86">
        <v>2</v>
      </c>
      <c r="C454" s="86">
        <v>6</v>
      </c>
      <c r="D454" s="49">
        <v>3</v>
      </c>
      <c r="E454" s="154">
        <v>10</v>
      </c>
      <c r="F454" s="163">
        <v>7</v>
      </c>
      <c r="G454" s="163">
        <v>5</v>
      </c>
      <c r="H454" s="155">
        <v>4</v>
      </c>
      <c r="I454" s="250">
        <v>1</v>
      </c>
    </row>
    <row r="455" spans="2:9" x14ac:dyDescent="0.25">
      <c r="B455" s="86">
        <v>2</v>
      </c>
      <c r="C455" s="86">
        <v>6</v>
      </c>
      <c r="D455" s="49">
        <v>4</v>
      </c>
      <c r="E455" s="154">
        <v>10</v>
      </c>
      <c r="F455" s="163">
        <v>7</v>
      </c>
      <c r="G455" s="163">
        <v>7</v>
      </c>
      <c r="H455" s="155">
        <v>6</v>
      </c>
      <c r="I455" s="250">
        <v>1</v>
      </c>
    </row>
    <row r="456" spans="2:9" x14ac:dyDescent="0.25">
      <c r="B456" s="86">
        <v>2</v>
      </c>
      <c r="C456" s="87">
        <v>6</v>
      </c>
      <c r="D456" s="82">
        <v>5</v>
      </c>
      <c r="E456" s="156">
        <v>10</v>
      </c>
      <c r="F456" s="179">
        <v>7</v>
      </c>
      <c r="G456" s="179">
        <v>7</v>
      </c>
      <c r="H456" s="157"/>
      <c r="I456" s="251">
        <v>1</v>
      </c>
    </row>
    <row r="457" spans="2:9" x14ac:dyDescent="0.25">
      <c r="B457" s="86">
        <v>2</v>
      </c>
      <c r="C457" s="85">
        <v>7</v>
      </c>
      <c r="D457" s="32">
        <v>1</v>
      </c>
      <c r="E457" s="152">
        <v>10</v>
      </c>
      <c r="F457" s="181">
        <v>7</v>
      </c>
      <c r="G457" s="181"/>
      <c r="H457" s="153"/>
      <c r="I457" s="249">
        <v>1</v>
      </c>
    </row>
    <row r="458" spans="2:9" x14ac:dyDescent="0.25">
      <c r="B458" s="86">
        <v>2</v>
      </c>
      <c r="C458" s="86">
        <v>7</v>
      </c>
      <c r="D458" s="49">
        <v>2</v>
      </c>
      <c r="E458" s="154">
        <v>10</v>
      </c>
      <c r="F458" s="163">
        <v>7</v>
      </c>
      <c r="G458" s="163">
        <v>5</v>
      </c>
      <c r="H458" s="155">
        <v>4</v>
      </c>
      <c r="I458" s="250">
        <v>1</v>
      </c>
    </row>
    <row r="459" spans="2:9" x14ac:dyDescent="0.25">
      <c r="B459" s="86">
        <v>2</v>
      </c>
      <c r="C459" s="86">
        <v>7</v>
      </c>
      <c r="D459" s="49">
        <v>3</v>
      </c>
      <c r="E459" s="154">
        <v>10</v>
      </c>
      <c r="F459" s="163">
        <v>7</v>
      </c>
      <c r="G459" s="163">
        <v>5</v>
      </c>
      <c r="H459" s="155">
        <v>4</v>
      </c>
      <c r="I459" s="250">
        <v>1</v>
      </c>
    </row>
    <row r="460" spans="2:9" x14ac:dyDescent="0.25">
      <c r="B460" s="86">
        <v>2</v>
      </c>
      <c r="C460" s="86">
        <v>7</v>
      </c>
      <c r="D460" s="49">
        <v>4</v>
      </c>
      <c r="E460" s="154">
        <v>10</v>
      </c>
      <c r="F460" s="163">
        <v>7</v>
      </c>
      <c r="G460" s="163">
        <v>7</v>
      </c>
      <c r="H460" s="155">
        <v>6</v>
      </c>
      <c r="I460" s="250">
        <v>1</v>
      </c>
    </row>
    <row r="461" spans="2:9" x14ac:dyDescent="0.25">
      <c r="B461" s="86">
        <v>2</v>
      </c>
      <c r="C461" s="87">
        <v>7</v>
      </c>
      <c r="D461" s="82">
        <v>5</v>
      </c>
      <c r="E461" s="156">
        <v>10</v>
      </c>
      <c r="F461" s="179">
        <v>7</v>
      </c>
      <c r="G461" s="179">
        <v>7</v>
      </c>
      <c r="H461" s="157"/>
      <c r="I461" s="251">
        <v>1</v>
      </c>
    </row>
    <row r="462" spans="2:9" x14ac:dyDescent="0.25">
      <c r="B462" s="86">
        <v>2</v>
      </c>
      <c r="C462" s="86">
        <v>8</v>
      </c>
      <c r="D462" s="49">
        <v>1</v>
      </c>
      <c r="E462" s="152">
        <v>10</v>
      </c>
      <c r="F462" s="181">
        <v>7</v>
      </c>
      <c r="G462" s="181"/>
      <c r="H462" s="153"/>
      <c r="I462" s="249">
        <v>1</v>
      </c>
    </row>
    <row r="463" spans="2:9" x14ac:dyDescent="0.25">
      <c r="B463" s="86">
        <v>2</v>
      </c>
      <c r="C463" s="86">
        <v>8</v>
      </c>
      <c r="D463" s="49">
        <v>2</v>
      </c>
      <c r="E463" s="154">
        <v>10</v>
      </c>
      <c r="F463" s="163">
        <v>7</v>
      </c>
      <c r="G463" s="163">
        <v>5</v>
      </c>
      <c r="H463" s="155">
        <v>4</v>
      </c>
      <c r="I463" s="250">
        <v>1</v>
      </c>
    </row>
    <row r="464" spans="2:9" x14ac:dyDescent="0.25">
      <c r="B464" s="86">
        <v>2</v>
      </c>
      <c r="C464" s="86">
        <v>8</v>
      </c>
      <c r="D464" s="49">
        <v>3</v>
      </c>
      <c r="E464" s="154">
        <v>10</v>
      </c>
      <c r="F464" s="163">
        <v>7</v>
      </c>
      <c r="G464" s="163">
        <v>5</v>
      </c>
      <c r="H464" s="155">
        <v>4</v>
      </c>
      <c r="I464" s="250">
        <v>1</v>
      </c>
    </row>
    <row r="465" spans="2:9" x14ac:dyDescent="0.25">
      <c r="B465" s="86">
        <v>2</v>
      </c>
      <c r="C465" s="86">
        <v>8</v>
      </c>
      <c r="D465" s="49">
        <v>4</v>
      </c>
      <c r="E465" s="154">
        <v>10</v>
      </c>
      <c r="F465" s="163">
        <v>7</v>
      </c>
      <c r="G465" s="163">
        <v>7</v>
      </c>
      <c r="H465" s="155">
        <v>6</v>
      </c>
      <c r="I465" s="250">
        <v>1</v>
      </c>
    </row>
    <row r="466" spans="2:9" x14ac:dyDescent="0.25">
      <c r="B466" s="86">
        <v>2</v>
      </c>
      <c r="C466" s="86">
        <v>8</v>
      </c>
      <c r="D466" s="49">
        <v>5</v>
      </c>
      <c r="E466" s="156">
        <v>10</v>
      </c>
      <c r="F466" s="179">
        <v>7</v>
      </c>
      <c r="G466" s="179">
        <v>7</v>
      </c>
      <c r="H466" s="157"/>
      <c r="I466" s="251">
        <v>1</v>
      </c>
    </row>
    <row r="467" spans="2:9" x14ac:dyDescent="0.25">
      <c r="B467" s="86">
        <v>2</v>
      </c>
      <c r="C467" s="85">
        <v>9</v>
      </c>
      <c r="D467" s="32">
        <v>1</v>
      </c>
      <c r="E467" s="152">
        <v>10</v>
      </c>
      <c r="F467" s="181">
        <v>7</v>
      </c>
      <c r="G467" s="181"/>
      <c r="H467" s="153"/>
      <c r="I467" s="249">
        <v>1</v>
      </c>
    </row>
    <row r="468" spans="2:9" x14ac:dyDescent="0.25">
      <c r="B468" s="86">
        <v>2</v>
      </c>
      <c r="C468" s="86">
        <v>9</v>
      </c>
      <c r="D468" s="49">
        <v>2</v>
      </c>
      <c r="E468" s="154">
        <v>10</v>
      </c>
      <c r="F468" s="163">
        <v>7</v>
      </c>
      <c r="G468" s="163">
        <v>5</v>
      </c>
      <c r="H468" s="155">
        <v>4</v>
      </c>
      <c r="I468" s="250">
        <v>1</v>
      </c>
    </row>
    <row r="469" spans="2:9" x14ac:dyDescent="0.25">
      <c r="B469" s="86">
        <v>2</v>
      </c>
      <c r="C469" s="86">
        <v>9</v>
      </c>
      <c r="D469" s="49">
        <v>3</v>
      </c>
      <c r="E469" s="154">
        <v>10</v>
      </c>
      <c r="F469" s="163">
        <v>7</v>
      </c>
      <c r="G469" s="163">
        <v>5</v>
      </c>
      <c r="H469" s="155">
        <v>4</v>
      </c>
      <c r="I469" s="250">
        <v>1</v>
      </c>
    </row>
    <row r="470" spans="2:9" x14ac:dyDescent="0.25">
      <c r="B470" s="86">
        <v>2</v>
      </c>
      <c r="C470" s="86">
        <v>9</v>
      </c>
      <c r="D470" s="49">
        <v>4</v>
      </c>
      <c r="E470" s="154">
        <v>10</v>
      </c>
      <c r="F470" s="163">
        <v>7</v>
      </c>
      <c r="G470" s="163">
        <v>7</v>
      </c>
      <c r="H470" s="155">
        <v>6</v>
      </c>
      <c r="I470" s="250">
        <v>1</v>
      </c>
    </row>
    <row r="471" spans="2:9" x14ac:dyDescent="0.25">
      <c r="B471" s="86">
        <v>2</v>
      </c>
      <c r="C471" s="87">
        <v>9</v>
      </c>
      <c r="D471" s="82">
        <v>5</v>
      </c>
      <c r="E471" s="156">
        <v>10</v>
      </c>
      <c r="F471" s="179">
        <v>7</v>
      </c>
      <c r="G471" s="179">
        <v>7</v>
      </c>
      <c r="H471" s="157"/>
      <c r="I471" s="251">
        <v>1</v>
      </c>
    </row>
    <row r="472" spans="2:9" x14ac:dyDescent="0.25">
      <c r="B472" s="86">
        <v>2</v>
      </c>
      <c r="C472" s="86">
        <v>10</v>
      </c>
      <c r="D472" s="49">
        <v>1</v>
      </c>
      <c r="E472" s="152">
        <v>10</v>
      </c>
      <c r="F472" s="181">
        <v>7</v>
      </c>
      <c r="G472" s="181"/>
      <c r="H472" s="153"/>
      <c r="I472" s="249">
        <v>1</v>
      </c>
    </row>
    <row r="473" spans="2:9" x14ac:dyDescent="0.25">
      <c r="B473" s="86">
        <v>2</v>
      </c>
      <c r="C473" s="86">
        <v>10</v>
      </c>
      <c r="D473" s="49">
        <v>2</v>
      </c>
      <c r="E473" s="154">
        <v>10</v>
      </c>
      <c r="F473" s="163">
        <v>7</v>
      </c>
      <c r="G473" s="163">
        <v>5</v>
      </c>
      <c r="H473" s="155">
        <v>4</v>
      </c>
      <c r="I473" s="250">
        <v>1</v>
      </c>
    </row>
    <row r="474" spans="2:9" x14ac:dyDescent="0.25">
      <c r="B474" s="86">
        <v>2</v>
      </c>
      <c r="C474" s="86">
        <v>10</v>
      </c>
      <c r="D474" s="49">
        <v>3</v>
      </c>
      <c r="E474" s="154">
        <v>10</v>
      </c>
      <c r="F474" s="163">
        <v>7</v>
      </c>
      <c r="G474" s="163">
        <v>5</v>
      </c>
      <c r="H474" s="155">
        <v>4</v>
      </c>
      <c r="I474" s="250">
        <v>1</v>
      </c>
    </row>
    <row r="475" spans="2:9" x14ac:dyDescent="0.25">
      <c r="B475" s="86">
        <v>2</v>
      </c>
      <c r="C475" s="86">
        <v>10</v>
      </c>
      <c r="D475" s="49">
        <v>4</v>
      </c>
      <c r="E475" s="154">
        <v>10</v>
      </c>
      <c r="F475" s="163">
        <v>7</v>
      </c>
      <c r="G475" s="163">
        <v>7</v>
      </c>
      <c r="H475" s="155">
        <v>6</v>
      </c>
      <c r="I475" s="250">
        <v>1</v>
      </c>
    </row>
    <row r="476" spans="2:9" x14ac:dyDescent="0.25">
      <c r="B476" s="87">
        <v>2</v>
      </c>
      <c r="C476" s="87">
        <v>10</v>
      </c>
      <c r="D476" s="82">
        <v>5</v>
      </c>
      <c r="E476" s="156">
        <v>10</v>
      </c>
      <c r="F476" s="179">
        <v>7</v>
      </c>
      <c r="G476" s="179">
        <v>7</v>
      </c>
      <c r="H476" s="157"/>
      <c r="I476" s="251">
        <v>1</v>
      </c>
    </row>
    <row r="477" spans="2:9" x14ac:dyDescent="0.25">
      <c r="B477" s="86">
        <v>3</v>
      </c>
      <c r="C477" s="85">
        <v>1</v>
      </c>
      <c r="D477" s="32">
        <v>1</v>
      </c>
      <c r="E477" s="152">
        <v>10</v>
      </c>
      <c r="F477" s="181">
        <v>11</v>
      </c>
      <c r="G477" s="181"/>
      <c r="H477" s="153"/>
      <c r="I477" s="249">
        <v>1</v>
      </c>
    </row>
    <row r="478" spans="2:9" x14ac:dyDescent="0.25">
      <c r="B478" s="86">
        <v>3</v>
      </c>
      <c r="C478" s="86">
        <v>1</v>
      </c>
      <c r="D478" s="49">
        <v>2</v>
      </c>
      <c r="E478" s="154">
        <v>10</v>
      </c>
      <c r="F478" s="163">
        <v>11</v>
      </c>
      <c r="G478" s="163">
        <v>4</v>
      </c>
      <c r="H478" s="155">
        <v>3</v>
      </c>
      <c r="I478" s="250">
        <v>1</v>
      </c>
    </row>
    <row r="479" spans="2:9" x14ac:dyDescent="0.25">
      <c r="B479" s="86">
        <v>3</v>
      </c>
      <c r="C479" s="86">
        <v>1</v>
      </c>
      <c r="D479" s="49">
        <v>3</v>
      </c>
      <c r="E479" s="154">
        <v>10</v>
      </c>
      <c r="F479" s="163">
        <v>11</v>
      </c>
      <c r="G479" s="163">
        <v>5</v>
      </c>
      <c r="H479" s="155">
        <v>4</v>
      </c>
      <c r="I479" s="250">
        <v>1</v>
      </c>
    </row>
    <row r="480" spans="2:9" x14ac:dyDescent="0.25">
      <c r="B480" s="86">
        <v>3</v>
      </c>
      <c r="C480" s="86">
        <v>1</v>
      </c>
      <c r="D480" s="49">
        <v>4</v>
      </c>
      <c r="E480" s="154">
        <v>10</v>
      </c>
      <c r="F480" s="163">
        <v>11</v>
      </c>
      <c r="G480" s="163">
        <v>11</v>
      </c>
      <c r="H480" s="155">
        <v>5</v>
      </c>
      <c r="I480" s="250">
        <v>1</v>
      </c>
    </row>
    <row r="481" spans="2:9" x14ac:dyDescent="0.25">
      <c r="B481" s="86">
        <v>3</v>
      </c>
      <c r="C481" s="87">
        <v>1</v>
      </c>
      <c r="D481" s="82">
        <v>5</v>
      </c>
      <c r="E481" s="156">
        <v>10</v>
      </c>
      <c r="F481" s="179">
        <v>11</v>
      </c>
      <c r="G481" s="179">
        <v>11</v>
      </c>
      <c r="H481" s="157"/>
      <c r="I481" s="251">
        <v>1</v>
      </c>
    </row>
    <row r="482" spans="2:9" x14ac:dyDescent="0.25">
      <c r="B482" s="86">
        <v>3</v>
      </c>
      <c r="C482" s="85">
        <v>2</v>
      </c>
      <c r="D482" s="32">
        <v>1</v>
      </c>
      <c r="E482" s="152">
        <v>10</v>
      </c>
      <c r="F482" s="181">
        <v>10</v>
      </c>
      <c r="G482" s="181"/>
      <c r="H482" s="153"/>
      <c r="I482" s="249">
        <v>1</v>
      </c>
    </row>
    <row r="483" spans="2:9" x14ac:dyDescent="0.25">
      <c r="B483" s="86">
        <v>3</v>
      </c>
      <c r="C483" s="86">
        <v>2</v>
      </c>
      <c r="D483" s="49">
        <v>2</v>
      </c>
      <c r="E483" s="154">
        <v>10</v>
      </c>
      <c r="F483" s="163">
        <v>10</v>
      </c>
      <c r="G483" s="163">
        <v>4</v>
      </c>
      <c r="H483" s="155">
        <v>3</v>
      </c>
      <c r="I483" s="250">
        <v>1</v>
      </c>
    </row>
    <row r="484" spans="2:9" x14ac:dyDescent="0.25">
      <c r="B484" s="86">
        <v>3</v>
      </c>
      <c r="C484" s="86">
        <v>2</v>
      </c>
      <c r="D484" s="49">
        <v>3</v>
      </c>
      <c r="E484" s="154">
        <v>10</v>
      </c>
      <c r="F484" s="163">
        <v>10</v>
      </c>
      <c r="G484" s="163">
        <v>5</v>
      </c>
      <c r="H484" s="155">
        <v>4</v>
      </c>
      <c r="I484" s="250">
        <v>1</v>
      </c>
    </row>
    <row r="485" spans="2:9" x14ac:dyDescent="0.25">
      <c r="B485" s="86">
        <v>3</v>
      </c>
      <c r="C485" s="86">
        <v>2</v>
      </c>
      <c r="D485" s="49">
        <v>4</v>
      </c>
      <c r="E485" s="154">
        <v>10</v>
      </c>
      <c r="F485" s="163">
        <v>10</v>
      </c>
      <c r="G485" s="163">
        <v>10</v>
      </c>
      <c r="H485" s="155">
        <v>5</v>
      </c>
      <c r="I485" s="250">
        <v>1</v>
      </c>
    </row>
    <row r="486" spans="2:9" x14ac:dyDescent="0.25">
      <c r="B486" s="86">
        <v>3</v>
      </c>
      <c r="C486" s="87">
        <v>2</v>
      </c>
      <c r="D486" s="82">
        <v>5</v>
      </c>
      <c r="E486" s="156">
        <v>10</v>
      </c>
      <c r="F486" s="179">
        <v>10</v>
      </c>
      <c r="G486" s="179">
        <v>10</v>
      </c>
      <c r="H486" s="157"/>
      <c r="I486" s="251">
        <v>1</v>
      </c>
    </row>
    <row r="487" spans="2:9" x14ac:dyDescent="0.25">
      <c r="B487" s="86">
        <v>3</v>
      </c>
      <c r="C487" s="86">
        <v>3</v>
      </c>
      <c r="D487" s="49">
        <v>1</v>
      </c>
      <c r="E487" s="152">
        <v>10</v>
      </c>
      <c r="F487" s="181">
        <v>9</v>
      </c>
      <c r="G487" s="181"/>
      <c r="H487" s="153"/>
      <c r="I487" s="249">
        <v>1</v>
      </c>
    </row>
    <row r="488" spans="2:9" x14ac:dyDescent="0.25">
      <c r="B488" s="86">
        <v>3</v>
      </c>
      <c r="C488" s="86">
        <v>3</v>
      </c>
      <c r="D488" s="49">
        <v>2</v>
      </c>
      <c r="E488" s="154">
        <v>10</v>
      </c>
      <c r="F488" s="163">
        <v>9</v>
      </c>
      <c r="G488" s="163">
        <v>4</v>
      </c>
      <c r="H488" s="155">
        <v>3</v>
      </c>
      <c r="I488" s="250">
        <v>1</v>
      </c>
    </row>
    <row r="489" spans="2:9" x14ac:dyDescent="0.25">
      <c r="B489" s="86">
        <v>3</v>
      </c>
      <c r="C489" s="86">
        <v>3</v>
      </c>
      <c r="D489" s="49">
        <v>3</v>
      </c>
      <c r="E489" s="154">
        <v>10</v>
      </c>
      <c r="F489" s="163">
        <v>9</v>
      </c>
      <c r="G489" s="163">
        <v>5</v>
      </c>
      <c r="H489" s="155">
        <v>4</v>
      </c>
      <c r="I489" s="250">
        <v>1</v>
      </c>
    </row>
    <row r="490" spans="2:9" x14ac:dyDescent="0.25">
      <c r="B490" s="86">
        <v>3</v>
      </c>
      <c r="C490" s="86">
        <v>3</v>
      </c>
      <c r="D490" s="49">
        <v>4</v>
      </c>
      <c r="E490" s="154">
        <v>10</v>
      </c>
      <c r="F490" s="163">
        <v>9</v>
      </c>
      <c r="G490" s="163">
        <v>9</v>
      </c>
      <c r="H490" s="155">
        <v>5</v>
      </c>
      <c r="I490" s="250">
        <v>1</v>
      </c>
    </row>
    <row r="491" spans="2:9" x14ac:dyDescent="0.25">
      <c r="B491" s="86">
        <v>3</v>
      </c>
      <c r="C491" s="86">
        <v>3</v>
      </c>
      <c r="D491" s="49">
        <v>5</v>
      </c>
      <c r="E491" s="156">
        <v>10</v>
      </c>
      <c r="F491" s="179">
        <v>9</v>
      </c>
      <c r="G491" s="179">
        <v>9</v>
      </c>
      <c r="H491" s="157"/>
      <c r="I491" s="251">
        <v>1</v>
      </c>
    </row>
    <row r="492" spans="2:9" x14ac:dyDescent="0.25">
      <c r="B492" s="86">
        <v>3</v>
      </c>
      <c r="C492" s="85">
        <v>4</v>
      </c>
      <c r="D492" s="32">
        <v>1</v>
      </c>
      <c r="E492" s="152">
        <v>10</v>
      </c>
      <c r="F492" s="181">
        <v>8</v>
      </c>
      <c r="G492" s="181"/>
      <c r="H492" s="153"/>
      <c r="I492" s="249">
        <v>1</v>
      </c>
    </row>
    <row r="493" spans="2:9" x14ac:dyDescent="0.25">
      <c r="B493" s="86">
        <v>3</v>
      </c>
      <c r="C493" s="86">
        <v>4</v>
      </c>
      <c r="D493" s="49">
        <v>2</v>
      </c>
      <c r="E493" s="154">
        <v>10</v>
      </c>
      <c r="F493" s="163">
        <v>8</v>
      </c>
      <c r="G493" s="163">
        <v>4</v>
      </c>
      <c r="H493" s="155">
        <v>3</v>
      </c>
      <c r="I493" s="250">
        <v>1</v>
      </c>
    </row>
    <row r="494" spans="2:9" x14ac:dyDescent="0.25">
      <c r="B494" s="86">
        <v>3</v>
      </c>
      <c r="C494" s="86">
        <v>4</v>
      </c>
      <c r="D494" s="49">
        <v>3</v>
      </c>
      <c r="E494" s="154">
        <v>10</v>
      </c>
      <c r="F494" s="163">
        <v>8</v>
      </c>
      <c r="G494" s="163">
        <v>5</v>
      </c>
      <c r="H494" s="155">
        <v>4</v>
      </c>
      <c r="I494" s="250">
        <v>1</v>
      </c>
    </row>
    <row r="495" spans="2:9" x14ac:dyDescent="0.25">
      <c r="B495" s="86">
        <v>3</v>
      </c>
      <c r="C495" s="86">
        <v>4</v>
      </c>
      <c r="D495" s="49">
        <v>4</v>
      </c>
      <c r="E495" s="154">
        <v>10</v>
      </c>
      <c r="F495" s="163">
        <v>8</v>
      </c>
      <c r="G495" s="163">
        <v>8</v>
      </c>
      <c r="H495" s="155">
        <v>5</v>
      </c>
      <c r="I495" s="250">
        <v>1</v>
      </c>
    </row>
    <row r="496" spans="2:9" x14ac:dyDescent="0.25">
      <c r="B496" s="86">
        <v>3</v>
      </c>
      <c r="C496" s="87">
        <v>4</v>
      </c>
      <c r="D496" s="82">
        <v>5</v>
      </c>
      <c r="E496" s="156">
        <v>10</v>
      </c>
      <c r="F496" s="179">
        <v>8</v>
      </c>
      <c r="G496" s="179">
        <v>8</v>
      </c>
      <c r="H496" s="157"/>
      <c r="I496" s="251">
        <v>1</v>
      </c>
    </row>
    <row r="497" spans="2:9" x14ac:dyDescent="0.25">
      <c r="B497" s="86">
        <v>3</v>
      </c>
      <c r="C497" s="86">
        <v>5</v>
      </c>
      <c r="D497" s="49">
        <v>1</v>
      </c>
      <c r="E497" s="152">
        <v>10</v>
      </c>
      <c r="F497" s="181">
        <v>7</v>
      </c>
      <c r="G497" s="181"/>
      <c r="H497" s="153"/>
      <c r="I497" s="249">
        <v>1</v>
      </c>
    </row>
    <row r="498" spans="2:9" x14ac:dyDescent="0.25">
      <c r="B498" s="86">
        <v>3</v>
      </c>
      <c r="C498" s="86">
        <v>5</v>
      </c>
      <c r="D498" s="49">
        <v>2</v>
      </c>
      <c r="E498" s="154">
        <v>10</v>
      </c>
      <c r="F498" s="163">
        <v>7</v>
      </c>
      <c r="G498" s="163">
        <v>4</v>
      </c>
      <c r="H498" s="155">
        <v>3</v>
      </c>
      <c r="I498" s="250">
        <v>1</v>
      </c>
    </row>
    <row r="499" spans="2:9" x14ac:dyDescent="0.25">
      <c r="B499" s="86">
        <v>3</v>
      </c>
      <c r="C499" s="86">
        <v>5</v>
      </c>
      <c r="D499" s="49">
        <v>3</v>
      </c>
      <c r="E499" s="154">
        <v>10</v>
      </c>
      <c r="F499" s="163">
        <v>7</v>
      </c>
      <c r="G499" s="163">
        <v>5</v>
      </c>
      <c r="H499" s="155">
        <v>4</v>
      </c>
      <c r="I499" s="250">
        <v>1</v>
      </c>
    </row>
    <row r="500" spans="2:9" x14ac:dyDescent="0.25">
      <c r="B500" s="86">
        <v>3</v>
      </c>
      <c r="C500" s="86">
        <v>5</v>
      </c>
      <c r="D500" s="49">
        <v>4</v>
      </c>
      <c r="E500" s="154">
        <v>10</v>
      </c>
      <c r="F500" s="163">
        <v>7</v>
      </c>
      <c r="G500" s="163">
        <v>7</v>
      </c>
      <c r="H500" s="155">
        <v>5</v>
      </c>
      <c r="I500" s="250">
        <v>1</v>
      </c>
    </row>
    <row r="501" spans="2:9" x14ac:dyDescent="0.25">
      <c r="B501" s="89">
        <v>3</v>
      </c>
      <c r="C501" s="87">
        <v>5</v>
      </c>
      <c r="D501" s="82">
        <v>5</v>
      </c>
      <c r="E501" s="156">
        <v>10</v>
      </c>
      <c r="F501" s="179">
        <v>7</v>
      </c>
      <c r="G501" s="179">
        <v>7</v>
      </c>
      <c r="H501" s="157"/>
      <c r="I501" s="251">
        <v>1</v>
      </c>
    </row>
    <row r="502" spans="2:9" x14ac:dyDescent="0.25">
      <c r="B502" s="86">
        <v>3</v>
      </c>
      <c r="C502" s="85">
        <v>6</v>
      </c>
      <c r="D502" s="32">
        <v>1</v>
      </c>
      <c r="E502" s="152">
        <v>10</v>
      </c>
      <c r="F502" s="181">
        <v>7</v>
      </c>
      <c r="G502" s="181"/>
      <c r="H502" s="153"/>
      <c r="I502" s="249">
        <v>1</v>
      </c>
    </row>
    <row r="503" spans="2:9" x14ac:dyDescent="0.25">
      <c r="B503" s="86">
        <v>3</v>
      </c>
      <c r="C503" s="86">
        <v>6</v>
      </c>
      <c r="D503" s="49">
        <v>2</v>
      </c>
      <c r="E503" s="154">
        <v>10</v>
      </c>
      <c r="F503" s="163">
        <v>7</v>
      </c>
      <c r="G503" s="163">
        <v>4</v>
      </c>
      <c r="H503" s="155">
        <v>3</v>
      </c>
      <c r="I503" s="250">
        <v>1</v>
      </c>
    </row>
    <row r="504" spans="2:9" x14ac:dyDescent="0.25">
      <c r="B504" s="86">
        <v>3</v>
      </c>
      <c r="C504" s="86">
        <v>6</v>
      </c>
      <c r="D504" s="49">
        <v>3</v>
      </c>
      <c r="E504" s="154">
        <v>10</v>
      </c>
      <c r="F504" s="163">
        <v>7</v>
      </c>
      <c r="G504" s="163">
        <v>5</v>
      </c>
      <c r="H504" s="155">
        <v>4</v>
      </c>
      <c r="I504" s="250">
        <v>1</v>
      </c>
    </row>
    <row r="505" spans="2:9" x14ac:dyDescent="0.25">
      <c r="B505" s="86">
        <v>3</v>
      </c>
      <c r="C505" s="86">
        <v>6</v>
      </c>
      <c r="D505" s="49">
        <v>4</v>
      </c>
      <c r="E505" s="154">
        <v>10</v>
      </c>
      <c r="F505" s="163">
        <v>7</v>
      </c>
      <c r="G505" s="163">
        <v>7</v>
      </c>
      <c r="H505" s="155">
        <v>5</v>
      </c>
      <c r="I505" s="250">
        <v>1</v>
      </c>
    </row>
    <row r="506" spans="2:9" x14ac:dyDescent="0.25">
      <c r="B506" s="86">
        <v>3</v>
      </c>
      <c r="C506" s="87">
        <v>6</v>
      </c>
      <c r="D506" s="82">
        <v>5</v>
      </c>
      <c r="E506" s="156">
        <v>10</v>
      </c>
      <c r="F506" s="179">
        <v>7</v>
      </c>
      <c r="G506" s="179">
        <v>7</v>
      </c>
      <c r="H506" s="157"/>
      <c r="I506" s="251">
        <v>1</v>
      </c>
    </row>
    <row r="507" spans="2:9" x14ac:dyDescent="0.25">
      <c r="B507" s="86">
        <v>3</v>
      </c>
      <c r="C507" s="85">
        <v>7</v>
      </c>
      <c r="D507" s="32">
        <v>1</v>
      </c>
      <c r="E507" s="152">
        <v>10</v>
      </c>
      <c r="F507" s="181">
        <v>7</v>
      </c>
      <c r="G507" s="181"/>
      <c r="H507" s="153"/>
      <c r="I507" s="249">
        <v>1</v>
      </c>
    </row>
    <row r="508" spans="2:9" x14ac:dyDescent="0.25">
      <c r="B508" s="86">
        <v>3</v>
      </c>
      <c r="C508" s="86">
        <v>7</v>
      </c>
      <c r="D508" s="49">
        <v>2</v>
      </c>
      <c r="E508" s="154">
        <v>10</v>
      </c>
      <c r="F508" s="163">
        <v>7</v>
      </c>
      <c r="G508" s="163">
        <v>4</v>
      </c>
      <c r="H508" s="155">
        <v>3</v>
      </c>
      <c r="I508" s="250">
        <v>1</v>
      </c>
    </row>
    <row r="509" spans="2:9" x14ac:dyDescent="0.25">
      <c r="B509" s="86">
        <v>3</v>
      </c>
      <c r="C509" s="86">
        <v>7</v>
      </c>
      <c r="D509" s="49">
        <v>3</v>
      </c>
      <c r="E509" s="154">
        <v>10</v>
      </c>
      <c r="F509" s="163">
        <v>7</v>
      </c>
      <c r="G509" s="163">
        <v>5</v>
      </c>
      <c r="H509" s="155">
        <v>4</v>
      </c>
      <c r="I509" s="250">
        <v>1</v>
      </c>
    </row>
    <row r="510" spans="2:9" x14ac:dyDescent="0.25">
      <c r="B510" s="86">
        <v>3</v>
      </c>
      <c r="C510" s="86">
        <v>7</v>
      </c>
      <c r="D510" s="49">
        <v>4</v>
      </c>
      <c r="E510" s="154">
        <v>10</v>
      </c>
      <c r="F510" s="163">
        <v>7</v>
      </c>
      <c r="G510" s="163">
        <v>7</v>
      </c>
      <c r="H510" s="155">
        <v>5</v>
      </c>
      <c r="I510" s="250">
        <v>1</v>
      </c>
    </row>
    <row r="511" spans="2:9" x14ac:dyDescent="0.25">
      <c r="B511" s="86">
        <v>3</v>
      </c>
      <c r="C511" s="87">
        <v>7</v>
      </c>
      <c r="D511" s="82">
        <v>5</v>
      </c>
      <c r="E511" s="156">
        <v>10</v>
      </c>
      <c r="F511" s="179">
        <v>7</v>
      </c>
      <c r="G511" s="179">
        <v>7</v>
      </c>
      <c r="H511" s="157"/>
      <c r="I511" s="251">
        <v>1</v>
      </c>
    </row>
    <row r="512" spans="2:9" x14ac:dyDescent="0.25">
      <c r="B512" s="86">
        <v>3</v>
      </c>
      <c r="C512" s="86">
        <v>8</v>
      </c>
      <c r="D512" s="49">
        <v>1</v>
      </c>
      <c r="E512" s="152">
        <v>10</v>
      </c>
      <c r="F512" s="181">
        <v>7</v>
      </c>
      <c r="G512" s="181"/>
      <c r="H512" s="153"/>
      <c r="I512" s="249">
        <v>1</v>
      </c>
    </row>
    <row r="513" spans="2:9" x14ac:dyDescent="0.25">
      <c r="B513" s="86">
        <v>3</v>
      </c>
      <c r="C513" s="86">
        <v>8</v>
      </c>
      <c r="D513" s="49">
        <v>2</v>
      </c>
      <c r="E513" s="154">
        <v>10</v>
      </c>
      <c r="F513" s="163">
        <v>7</v>
      </c>
      <c r="G513" s="163">
        <v>4</v>
      </c>
      <c r="H513" s="155">
        <v>3</v>
      </c>
      <c r="I513" s="250">
        <v>1</v>
      </c>
    </row>
    <row r="514" spans="2:9" x14ac:dyDescent="0.25">
      <c r="B514" s="86">
        <v>3</v>
      </c>
      <c r="C514" s="86">
        <v>8</v>
      </c>
      <c r="D514" s="49">
        <v>3</v>
      </c>
      <c r="E514" s="154">
        <v>10</v>
      </c>
      <c r="F514" s="163">
        <v>7</v>
      </c>
      <c r="G514" s="163">
        <v>5</v>
      </c>
      <c r="H514" s="155">
        <v>4</v>
      </c>
      <c r="I514" s="250">
        <v>1</v>
      </c>
    </row>
    <row r="515" spans="2:9" x14ac:dyDescent="0.25">
      <c r="B515" s="86">
        <v>3</v>
      </c>
      <c r="C515" s="86">
        <v>8</v>
      </c>
      <c r="D515" s="49">
        <v>4</v>
      </c>
      <c r="E515" s="154">
        <v>10</v>
      </c>
      <c r="F515" s="163">
        <v>7</v>
      </c>
      <c r="G515" s="163">
        <v>7</v>
      </c>
      <c r="H515" s="155">
        <v>5</v>
      </c>
      <c r="I515" s="250">
        <v>1</v>
      </c>
    </row>
    <row r="516" spans="2:9" x14ac:dyDescent="0.25">
      <c r="B516" s="86">
        <v>3</v>
      </c>
      <c r="C516" s="86">
        <v>8</v>
      </c>
      <c r="D516" s="49">
        <v>5</v>
      </c>
      <c r="E516" s="156">
        <v>10</v>
      </c>
      <c r="F516" s="179">
        <v>7</v>
      </c>
      <c r="G516" s="179">
        <v>7</v>
      </c>
      <c r="H516" s="157"/>
      <c r="I516" s="251">
        <v>1</v>
      </c>
    </row>
    <row r="517" spans="2:9" x14ac:dyDescent="0.25">
      <c r="B517" s="86">
        <v>3</v>
      </c>
      <c r="C517" s="85">
        <v>9</v>
      </c>
      <c r="D517" s="32">
        <v>1</v>
      </c>
      <c r="E517" s="152">
        <v>10</v>
      </c>
      <c r="F517" s="181">
        <v>7</v>
      </c>
      <c r="G517" s="181"/>
      <c r="H517" s="153"/>
      <c r="I517" s="249">
        <v>1</v>
      </c>
    </row>
    <row r="518" spans="2:9" x14ac:dyDescent="0.25">
      <c r="B518" s="86">
        <v>3</v>
      </c>
      <c r="C518" s="86">
        <v>9</v>
      </c>
      <c r="D518" s="49">
        <v>2</v>
      </c>
      <c r="E518" s="154">
        <v>10</v>
      </c>
      <c r="F518" s="163">
        <v>7</v>
      </c>
      <c r="G518" s="163">
        <v>4</v>
      </c>
      <c r="H518" s="155">
        <v>3</v>
      </c>
      <c r="I518" s="250">
        <v>1</v>
      </c>
    </row>
    <row r="519" spans="2:9" x14ac:dyDescent="0.25">
      <c r="B519" s="86">
        <v>3</v>
      </c>
      <c r="C519" s="86">
        <v>9</v>
      </c>
      <c r="D519" s="49">
        <v>3</v>
      </c>
      <c r="E519" s="154">
        <v>10</v>
      </c>
      <c r="F519" s="163">
        <v>7</v>
      </c>
      <c r="G519" s="163">
        <v>5</v>
      </c>
      <c r="H519" s="155">
        <v>4</v>
      </c>
      <c r="I519" s="250">
        <v>1</v>
      </c>
    </row>
    <row r="520" spans="2:9" x14ac:dyDescent="0.25">
      <c r="B520" s="86">
        <v>3</v>
      </c>
      <c r="C520" s="86">
        <v>9</v>
      </c>
      <c r="D520" s="49">
        <v>4</v>
      </c>
      <c r="E520" s="154">
        <v>10</v>
      </c>
      <c r="F520" s="163">
        <v>7</v>
      </c>
      <c r="G520" s="163">
        <v>7</v>
      </c>
      <c r="H520" s="155">
        <v>5</v>
      </c>
      <c r="I520" s="250">
        <v>1</v>
      </c>
    </row>
    <row r="521" spans="2:9" x14ac:dyDescent="0.25">
      <c r="B521" s="86">
        <v>3</v>
      </c>
      <c r="C521" s="87">
        <v>9</v>
      </c>
      <c r="D521" s="82">
        <v>5</v>
      </c>
      <c r="E521" s="156">
        <v>10</v>
      </c>
      <c r="F521" s="179">
        <v>7</v>
      </c>
      <c r="G521" s="179">
        <v>7</v>
      </c>
      <c r="H521" s="157"/>
      <c r="I521" s="251">
        <v>1</v>
      </c>
    </row>
    <row r="522" spans="2:9" x14ac:dyDescent="0.25">
      <c r="B522" s="86">
        <v>3</v>
      </c>
      <c r="C522" s="86">
        <v>10</v>
      </c>
      <c r="D522" s="49">
        <v>1</v>
      </c>
      <c r="E522" s="152">
        <v>10</v>
      </c>
      <c r="F522" s="181">
        <v>7</v>
      </c>
      <c r="G522" s="181"/>
      <c r="H522" s="153"/>
      <c r="I522" s="249">
        <v>1</v>
      </c>
    </row>
    <row r="523" spans="2:9" x14ac:dyDescent="0.25">
      <c r="B523" s="86">
        <v>3</v>
      </c>
      <c r="C523" s="86">
        <v>10</v>
      </c>
      <c r="D523" s="49">
        <v>2</v>
      </c>
      <c r="E523" s="154">
        <v>10</v>
      </c>
      <c r="F523" s="163">
        <v>7</v>
      </c>
      <c r="G523" s="163">
        <v>4</v>
      </c>
      <c r="H523" s="155">
        <v>3</v>
      </c>
      <c r="I523" s="250">
        <v>1</v>
      </c>
    </row>
    <row r="524" spans="2:9" x14ac:dyDescent="0.25">
      <c r="B524" s="86">
        <v>3</v>
      </c>
      <c r="C524" s="86">
        <v>10</v>
      </c>
      <c r="D524" s="49">
        <v>3</v>
      </c>
      <c r="E524" s="154">
        <v>10</v>
      </c>
      <c r="F524" s="163">
        <v>7</v>
      </c>
      <c r="G524" s="163">
        <v>5</v>
      </c>
      <c r="H524" s="155">
        <v>4</v>
      </c>
      <c r="I524" s="250">
        <v>1</v>
      </c>
    </row>
    <row r="525" spans="2:9" x14ac:dyDescent="0.25">
      <c r="B525" s="86">
        <v>3</v>
      </c>
      <c r="C525" s="86">
        <v>10</v>
      </c>
      <c r="D525" s="49">
        <v>4</v>
      </c>
      <c r="E525" s="154">
        <v>10</v>
      </c>
      <c r="F525" s="163">
        <v>7</v>
      </c>
      <c r="G525" s="163">
        <v>7</v>
      </c>
      <c r="H525" s="155">
        <v>5</v>
      </c>
      <c r="I525" s="250">
        <v>1</v>
      </c>
    </row>
    <row r="526" spans="2:9" x14ac:dyDescent="0.25">
      <c r="B526" s="87">
        <v>3</v>
      </c>
      <c r="C526" s="87">
        <v>10</v>
      </c>
      <c r="D526" s="82">
        <v>5</v>
      </c>
      <c r="E526" s="156">
        <v>10</v>
      </c>
      <c r="F526" s="179">
        <v>7</v>
      </c>
      <c r="G526" s="179">
        <v>7</v>
      </c>
      <c r="H526" s="157"/>
      <c r="I526" s="251">
        <v>1</v>
      </c>
    </row>
    <row r="527" spans="2:9" x14ac:dyDescent="0.25">
      <c r="B527" s="86">
        <v>4</v>
      </c>
      <c r="C527" s="85">
        <v>1</v>
      </c>
      <c r="D527" s="32">
        <v>1</v>
      </c>
      <c r="E527" s="152">
        <v>10</v>
      </c>
      <c r="F527" s="181">
        <v>13</v>
      </c>
      <c r="G527" s="181"/>
      <c r="H527" s="153"/>
      <c r="I527" s="249">
        <v>1</v>
      </c>
    </row>
    <row r="528" spans="2:9" x14ac:dyDescent="0.25">
      <c r="B528" s="86">
        <v>4</v>
      </c>
      <c r="C528" s="86">
        <v>1</v>
      </c>
      <c r="D528" s="49">
        <v>2</v>
      </c>
      <c r="E528" s="154">
        <v>10</v>
      </c>
      <c r="F528" s="163">
        <v>13</v>
      </c>
      <c r="G528" s="163">
        <v>12</v>
      </c>
      <c r="H528" s="155"/>
      <c r="I528" s="250">
        <v>1</v>
      </c>
    </row>
    <row r="529" spans="2:9" x14ac:dyDescent="0.25">
      <c r="B529" s="86">
        <v>4</v>
      </c>
      <c r="C529" s="86">
        <v>1</v>
      </c>
      <c r="D529" s="49">
        <v>3</v>
      </c>
      <c r="E529" s="154">
        <v>10</v>
      </c>
      <c r="F529" s="163">
        <v>13</v>
      </c>
      <c r="G529" s="163">
        <v>13</v>
      </c>
      <c r="H529" s="155">
        <v>12</v>
      </c>
      <c r="I529" s="250">
        <v>1</v>
      </c>
    </row>
    <row r="530" spans="2:9" x14ac:dyDescent="0.25">
      <c r="B530" s="86">
        <v>4</v>
      </c>
      <c r="C530" s="86">
        <v>1</v>
      </c>
      <c r="D530" s="49">
        <v>4</v>
      </c>
      <c r="E530" s="154">
        <v>10</v>
      </c>
      <c r="F530" s="163">
        <v>13</v>
      </c>
      <c r="G530" s="163">
        <v>24</v>
      </c>
      <c r="H530" s="155">
        <v>13</v>
      </c>
      <c r="I530" s="250">
        <v>1</v>
      </c>
    </row>
    <row r="531" spans="2:9" x14ac:dyDescent="0.25">
      <c r="B531" s="86">
        <v>4</v>
      </c>
      <c r="C531" s="87">
        <v>1</v>
      </c>
      <c r="D531" s="82">
        <v>5</v>
      </c>
      <c r="E531" s="156">
        <v>10</v>
      </c>
      <c r="F531" s="179">
        <v>13</v>
      </c>
      <c r="G531" s="179">
        <v>24</v>
      </c>
      <c r="H531" s="157">
        <v>13</v>
      </c>
      <c r="I531" s="251">
        <v>1</v>
      </c>
    </row>
    <row r="532" spans="2:9" x14ac:dyDescent="0.25">
      <c r="B532" s="86">
        <v>4</v>
      </c>
      <c r="C532" s="85">
        <v>2</v>
      </c>
      <c r="D532" s="32">
        <v>1</v>
      </c>
      <c r="E532" s="152">
        <v>10</v>
      </c>
      <c r="F532" s="181">
        <v>13</v>
      </c>
      <c r="G532" s="181"/>
      <c r="H532" s="153"/>
      <c r="I532" s="249">
        <v>1</v>
      </c>
    </row>
    <row r="533" spans="2:9" x14ac:dyDescent="0.25">
      <c r="B533" s="86">
        <v>4</v>
      </c>
      <c r="C533" s="86">
        <v>2</v>
      </c>
      <c r="D533" s="49">
        <v>2</v>
      </c>
      <c r="E533" s="154">
        <v>10</v>
      </c>
      <c r="F533" s="163">
        <v>13</v>
      </c>
      <c r="G533" s="163">
        <v>12</v>
      </c>
      <c r="H533" s="155"/>
      <c r="I533" s="250">
        <v>1</v>
      </c>
    </row>
    <row r="534" spans="2:9" x14ac:dyDescent="0.25">
      <c r="B534" s="86">
        <v>4</v>
      </c>
      <c r="C534" s="86">
        <v>2</v>
      </c>
      <c r="D534" s="49">
        <v>3</v>
      </c>
      <c r="E534" s="154">
        <v>10</v>
      </c>
      <c r="F534" s="163">
        <v>13</v>
      </c>
      <c r="G534" s="163">
        <v>13</v>
      </c>
      <c r="H534" s="155">
        <v>12</v>
      </c>
      <c r="I534" s="250">
        <v>1</v>
      </c>
    </row>
    <row r="535" spans="2:9" x14ac:dyDescent="0.25">
      <c r="B535" s="86">
        <v>4</v>
      </c>
      <c r="C535" s="86">
        <v>2</v>
      </c>
      <c r="D535" s="49">
        <v>4</v>
      </c>
      <c r="E535" s="154">
        <v>10</v>
      </c>
      <c r="F535" s="163">
        <v>13</v>
      </c>
      <c r="G535" s="163">
        <v>24</v>
      </c>
      <c r="H535" s="155">
        <v>13</v>
      </c>
      <c r="I535" s="250">
        <v>1</v>
      </c>
    </row>
    <row r="536" spans="2:9" x14ac:dyDescent="0.25">
      <c r="B536" s="86">
        <v>4</v>
      </c>
      <c r="C536" s="87">
        <v>2</v>
      </c>
      <c r="D536" s="82">
        <v>5</v>
      </c>
      <c r="E536" s="156">
        <v>10</v>
      </c>
      <c r="F536" s="179">
        <v>13</v>
      </c>
      <c r="G536" s="179">
        <v>24</v>
      </c>
      <c r="H536" s="157">
        <v>13</v>
      </c>
      <c r="I536" s="251">
        <v>1</v>
      </c>
    </row>
    <row r="537" spans="2:9" x14ac:dyDescent="0.25">
      <c r="B537" s="86">
        <v>4</v>
      </c>
      <c r="C537" s="86">
        <v>3</v>
      </c>
      <c r="D537" s="49">
        <v>1</v>
      </c>
      <c r="E537" s="152">
        <v>10</v>
      </c>
      <c r="F537" s="181">
        <v>13</v>
      </c>
      <c r="G537" s="181"/>
      <c r="H537" s="153"/>
      <c r="I537" s="249">
        <v>1</v>
      </c>
    </row>
    <row r="538" spans="2:9" x14ac:dyDescent="0.25">
      <c r="B538" s="86">
        <v>4</v>
      </c>
      <c r="C538" s="86">
        <v>3</v>
      </c>
      <c r="D538" s="49">
        <v>2</v>
      </c>
      <c r="E538" s="154">
        <v>10</v>
      </c>
      <c r="F538" s="163">
        <v>13</v>
      </c>
      <c r="G538" s="163">
        <v>12</v>
      </c>
      <c r="H538" s="155"/>
      <c r="I538" s="250">
        <v>1</v>
      </c>
    </row>
    <row r="539" spans="2:9" x14ac:dyDescent="0.25">
      <c r="B539" s="86">
        <v>4</v>
      </c>
      <c r="C539" s="86">
        <v>3</v>
      </c>
      <c r="D539" s="49">
        <v>3</v>
      </c>
      <c r="E539" s="154">
        <v>10</v>
      </c>
      <c r="F539" s="163">
        <v>13</v>
      </c>
      <c r="G539" s="163">
        <v>13</v>
      </c>
      <c r="H539" s="155">
        <v>12</v>
      </c>
      <c r="I539" s="250">
        <v>1</v>
      </c>
    </row>
    <row r="540" spans="2:9" x14ac:dyDescent="0.25">
      <c r="B540" s="86">
        <v>4</v>
      </c>
      <c r="C540" s="86">
        <v>3</v>
      </c>
      <c r="D540" s="49">
        <v>4</v>
      </c>
      <c r="E540" s="154">
        <v>10</v>
      </c>
      <c r="F540" s="163">
        <v>13</v>
      </c>
      <c r="G540" s="163">
        <v>23</v>
      </c>
      <c r="H540" s="155">
        <v>13</v>
      </c>
      <c r="I540" s="250">
        <v>1</v>
      </c>
    </row>
    <row r="541" spans="2:9" x14ac:dyDescent="0.25">
      <c r="B541" s="86">
        <v>4</v>
      </c>
      <c r="C541" s="86">
        <v>3</v>
      </c>
      <c r="D541" s="49">
        <v>5</v>
      </c>
      <c r="E541" s="156">
        <v>10</v>
      </c>
      <c r="F541" s="179">
        <v>13</v>
      </c>
      <c r="G541" s="179">
        <v>23</v>
      </c>
      <c r="H541" s="157">
        <v>13</v>
      </c>
      <c r="I541" s="251">
        <v>1</v>
      </c>
    </row>
    <row r="542" spans="2:9" x14ac:dyDescent="0.25">
      <c r="B542" s="86">
        <v>4</v>
      </c>
      <c r="C542" s="85">
        <v>4</v>
      </c>
      <c r="D542" s="32">
        <v>1</v>
      </c>
      <c r="E542" s="152">
        <v>10</v>
      </c>
      <c r="F542" s="181">
        <v>13</v>
      </c>
      <c r="G542" s="181"/>
      <c r="H542" s="153"/>
      <c r="I542" s="249">
        <v>1</v>
      </c>
    </row>
    <row r="543" spans="2:9" x14ac:dyDescent="0.25">
      <c r="B543" s="86">
        <v>4</v>
      </c>
      <c r="C543" s="86">
        <v>4</v>
      </c>
      <c r="D543" s="49">
        <v>2</v>
      </c>
      <c r="E543" s="154">
        <v>10</v>
      </c>
      <c r="F543" s="163">
        <v>13</v>
      </c>
      <c r="G543" s="163">
        <v>12</v>
      </c>
      <c r="H543" s="155"/>
      <c r="I543" s="250">
        <v>1</v>
      </c>
    </row>
    <row r="544" spans="2:9" x14ac:dyDescent="0.25">
      <c r="B544" s="86">
        <v>4</v>
      </c>
      <c r="C544" s="86">
        <v>4</v>
      </c>
      <c r="D544" s="49">
        <v>3</v>
      </c>
      <c r="E544" s="154">
        <v>10</v>
      </c>
      <c r="F544" s="163">
        <v>13</v>
      </c>
      <c r="G544" s="163">
        <v>13</v>
      </c>
      <c r="H544" s="155">
        <v>12</v>
      </c>
      <c r="I544" s="250">
        <v>1</v>
      </c>
    </row>
    <row r="545" spans="2:9" x14ac:dyDescent="0.25">
      <c r="B545" s="86">
        <v>4</v>
      </c>
      <c r="C545" s="86">
        <v>4</v>
      </c>
      <c r="D545" s="49">
        <v>4</v>
      </c>
      <c r="E545" s="154">
        <v>10</v>
      </c>
      <c r="F545" s="163">
        <v>13</v>
      </c>
      <c r="G545" s="163">
        <v>23</v>
      </c>
      <c r="H545" s="155">
        <v>13</v>
      </c>
      <c r="I545" s="250">
        <v>1</v>
      </c>
    </row>
    <row r="546" spans="2:9" x14ac:dyDescent="0.25">
      <c r="B546" s="86">
        <v>4</v>
      </c>
      <c r="C546" s="87">
        <v>4</v>
      </c>
      <c r="D546" s="82">
        <v>5</v>
      </c>
      <c r="E546" s="156">
        <v>10</v>
      </c>
      <c r="F546" s="179">
        <v>13</v>
      </c>
      <c r="G546" s="179">
        <v>23</v>
      </c>
      <c r="H546" s="157">
        <v>13</v>
      </c>
      <c r="I546" s="251">
        <v>1</v>
      </c>
    </row>
    <row r="547" spans="2:9" x14ac:dyDescent="0.25">
      <c r="B547" s="86">
        <v>4</v>
      </c>
      <c r="C547" s="86">
        <v>5</v>
      </c>
      <c r="D547" s="49">
        <v>1</v>
      </c>
      <c r="E547" s="152">
        <v>10</v>
      </c>
      <c r="F547" s="181">
        <v>13</v>
      </c>
      <c r="G547" s="181"/>
      <c r="H547" s="153"/>
      <c r="I547" s="249">
        <v>1</v>
      </c>
    </row>
    <row r="548" spans="2:9" x14ac:dyDescent="0.25">
      <c r="B548" s="86">
        <v>4</v>
      </c>
      <c r="C548" s="86">
        <v>5</v>
      </c>
      <c r="D548" s="49">
        <v>2</v>
      </c>
      <c r="E548" s="154">
        <v>10</v>
      </c>
      <c r="F548" s="163">
        <v>13</v>
      </c>
      <c r="G548" s="163">
        <v>12</v>
      </c>
      <c r="H548" s="155"/>
      <c r="I548" s="250">
        <v>1</v>
      </c>
    </row>
    <row r="549" spans="2:9" x14ac:dyDescent="0.25">
      <c r="B549" s="86">
        <v>4</v>
      </c>
      <c r="C549" s="86">
        <v>5</v>
      </c>
      <c r="D549" s="49">
        <v>3</v>
      </c>
      <c r="E549" s="154">
        <v>10</v>
      </c>
      <c r="F549" s="163">
        <v>13</v>
      </c>
      <c r="G549" s="163">
        <v>13</v>
      </c>
      <c r="H549" s="155">
        <v>12</v>
      </c>
      <c r="I549" s="250">
        <v>1</v>
      </c>
    </row>
    <row r="550" spans="2:9" x14ac:dyDescent="0.25">
      <c r="B550" s="86">
        <v>4</v>
      </c>
      <c r="C550" s="86">
        <v>5</v>
      </c>
      <c r="D550" s="49">
        <v>4</v>
      </c>
      <c r="E550" s="154">
        <v>10</v>
      </c>
      <c r="F550" s="163">
        <v>13</v>
      </c>
      <c r="G550" s="163">
        <v>23</v>
      </c>
      <c r="H550" s="155">
        <v>13</v>
      </c>
      <c r="I550" s="250">
        <v>1</v>
      </c>
    </row>
    <row r="551" spans="2:9" x14ac:dyDescent="0.25">
      <c r="B551" s="89">
        <v>4</v>
      </c>
      <c r="C551" s="87">
        <v>5</v>
      </c>
      <c r="D551" s="82">
        <v>5</v>
      </c>
      <c r="E551" s="156">
        <v>10</v>
      </c>
      <c r="F551" s="179">
        <v>13</v>
      </c>
      <c r="G551" s="179">
        <v>23</v>
      </c>
      <c r="H551" s="157">
        <v>13</v>
      </c>
      <c r="I551" s="251">
        <v>1</v>
      </c>
    </row>
    <row r="552" spans="2:9" x14ac:dyDescent="0.25">
      <c r="B552" s="86">
        <v>4</v>
      </c>
      <c r="C552" s="85">
        <v>6</v>
      </c>
      <c r="D552" s="32">
        <v>1</v>
      </c>
      <c r="E552" s="152">
        <v>10</v>
      </c>
      <c r="F552" s="181">
        <v>13</v>
      </c>
      <c r="G552" s="181"/>
      <c r="H552" s="153"/>
      <c r="I552" s="249">
        <v>1</v>
      </c>
    </row>
    <row r="553" spans="2:9" x14ac:dyDescent="0.25">
      <c r="B553" s="86">
        <v>4</v>
      </c>
      <c r="C553" s="86">
        <v>6</v>
      </c>
      <c r="D553" s="49">
        <v>2</v>
      </c>
      <c r="E553" s="154">
        <v>10</v>
      </c>
      <c r="F553" s="163">
        <v>13</v>
      </c>
      <c r="G553" s="163">
        <v>12</v>
      </c>
      <c r="H553" s="155"/>
      <c r="I553" s="250">
        <v>1</v>
      </c>
    </row>
    <row r="554" spans="2:9" x14ac:dyDescent="0.25">
      <c r="B554" s="86">
        <v>4</v>
      </c>
      <c r="C554" s="86">
        <v>6</v>
      </c>
      <c r="D554" s="49">
        <v>3</v>
      </c>
      <c r="E554" s="154">
        <v>10</v>
      </c>
      <c r="F554" s="163">
        <v>13</v>
      </c>
      <c r="G554" s="163">
        <v>13</v>
      </c>
      <c r="H554" s="155">
        <v>12</v>
      </c>
      <c r="I554" s="250">
        <v>1</v>
      </c>
    </row>
    <row r="555" spans="2:9" x14ac:dyDescent="0.25">
      <c r="B555" s="86">
        <v>4</v>
      </c>
      <c r="C555" s="86">
        <v>6</v>
      </c>
      <c r="D555" s="49">
        <v>4</v>
      </c>
      <c r="E555" s="154">
        <v>10</v>
      </c>
      <c r="F555" s="163">
        <v>13</v>
      </c>
      <c r="G555" s="163">
        <v>23</v>
      </c>
      <c r="H555" s="155">
        <v>13</v>
      </c>
      <c r="I555" s="250">
        <v>1</v>
      </c>
    </row>
    <row r="556" spans="2:9" x14ac:dyDescent="0.25">
      <c r="B556" s="86">
        <v>4</v>
      </c>
      <c r="C556" s="87">
        <v>6</v>
      </c>
      <c r="D556" s="82">
        <v>5</v>
      </c>
      <c r="E556" s="156">
        <v>10</v>
      </c>
      <c r="F556" s="179">
        <v>13</v>
      </c>
      <c r="G556" s="179">
        <v>23</v>
      </c>
      <c r="H556" s="157">
        <v>13</v>
      </c>
      <c r="I556" s="251">
        <v>1</v>
      </c>
    </row>
    <row r="557" spans="2:9" x14ac:dyDescent="0.25">
      <c r="B557" s="86">
        <v>4</v>
      </c>
      <c r="C557" s="85">
        <v>7</v>
      </c>
      <c r="D557" s="32">
        <v>1</v>
      </c>
      <c r="E557" s="152">
        <v>10</v>
      </c>
      <c r="F557" s="181">
        <v>13</v>
      </c>
      <c r="G557" s="181"/>
      <c r="H557" s="153"/>
      <c r="I557" s="249">
        <v>1</v>
      </c>
    </row>
    <row r="558" spans="2:9" x14ac:dyDescent="0.25">
      <c r="B558" s="86">
        <v>4</v>
      </c>
      <c r="C558" s="86">
        <v>7</v>
      </c>
      <c r="D558" s="49">
        <v>2</v>
      </c>
      <c r="E558" s="154">
        <v>10</v>
      </c>
      <c r="F558" s="163">
        <v>13</v>
      </c>
      <c r="G558" s="163">
        <v>12</v>
      </c>
      <c r="H558" s="155"/>
      <c r="I558" s="250">
        <v>1</v>
      </c>
    </row>
    <row r="559" spans="2:9" x14ac:dyDescent="0.25">
      <c r="B559" s="86">
        <v>4</v>
      </c>
      <c r="C559" s="86">
        <v>7</v>
      </c>
      <c r="D559" s="49">
        <v>3</v>
      </c>
      <c r="E559" s="154">
        <v>10</v>
      </c>
      <c r="F559" s="163">
        <v>13</v>
      </c>
      <c r="G559" s="163">
        <v>13</v>
      </c>
      <c r="H559" s="155">
        <v>12</v>
      </c>
      <c r="I559" s="250">
        <v>1</v>
      </c>
    </row>
    <row r="560" spans="2:9" x14ac:dyDescent="0.25">
      <c r="B560" s="86">
        <v>4</v>
      </c>
      <c r="C560" s="86">
        <v>7</v>
      </c>
      <c r="D560" s="49">
        <v>4</v>
      </c>
      <c r="E560" s="154">
        <v>10</v>
      </c>
      <c r="F560" s="163">
        <v>13</v>
      </c>
      <c r="G560" s="163">
        <v>23</v>
      </c>
      <c r="H560" s="155">
        <v>13</v>
      </c>
      <c r="I560" s="250">
        <v>1</v>
      </c>
    </row>
    <row r="561" spans="2:9" x14ac:dyDescent="0.25">
      <c r="B561" s="86">
        <v>4</v>
      </c>
      <c r="C561" s="87">
        <v>7</v>
      </c>
      <c r="D561" s="82">
        <v>5</v>
      </c>
      <c r="E561" s="156">
        <v>10</v>
      </c>
      <c r="F561" s="179">
        <v>13</v>
      </c>
      <c r="G561" s="179">
        <v>23</v>
      </c>
      <c r="H561" s="157">
        <v>13</v>
      </c>
      <c r="I561" s="251">
        <v>1</v>
      </c>
    </row>
    <row r="562" spans="2:9" x14ac:dyDescent="0.25">
      <c r="B562" s="86">
        <v>4</v>
      </c>
      <c r="C562" s="86">
        <v>8</v>
      </c>
      <c r="D562" s="49">
        <v>1</v>
      </c>
      <c r="E562" s="152">
        <v>10</v>
      </c>
      <c r="F562" s="181">
        <v>13</v>
      </c>
      <c r="G562" s="181"/>
      <c r="H562" s="153"/>
      <c r="I562" s="249">
        <v>1</v>
      </c>
    </row>
    <row r="563" spans="2:9" x14ac:dyDescent="0.25">
      <c r="B563" s="86">
        <v>4</v>
      </c>
      <c r="C563" s="86">
        <v>8</v>
      </c>
      <c r="D563" s="49">
        <v>2</v>
      </c>
      <c r="E563" s="154">
        <v>10</v>
      </c>
      <c r="F563" s="163">
        <v>13</v>
      </c>
      <c r="G563" s="163">
        <v>12</v>
      </c>
      <c r="H563" s="155"/>
      <c r="I563" s="250">
        <v>1</v>
      </c>
    </row>
    <row r="564" spans="2:9" x14ac:dyDescent="0.25">
      <c r="B564" s="86">
        <v>4</v>
      </c>
      <c r="C564" s="86">
        <v>8</v>
      </c>
      <c r="D564" s="49">
        <v>3</v>
      </c>
      <c r="E564" s="154">
        <v>10</v>
      </c>
      <c r="F564" s="163">
        <v>13</v>
      </c>
      <c r="G564" s="163">
        <v>13</v>
      </c>
      <c r="H564" s="155">
        <v>12</v>
      </c>
      <c r="I564" s="250">
        <v>1</v>
      </c>
    </row>
    <row r="565" spans="2:9" x14ac:dyDescent="0.25">
      <c r="B565" s="86">
        <v>4</v>
      </c>
      <c r="C565" s="86">
        <v>8</v>
      </c>
      <c r="D565" s="49">
        <v>4</v>
      </c>
      <c r="E565" s="154">
        <v>10</v>
      </c>
      <c r="F565" s="163">
        <v>13</v>
      </c>
      <c r="G565" s="163">
        <v>23</v>
      </c>
      <c r="H565" s="155">
        <v>13</v>
      </c>
      <c r="I565" s="250">
        <v>1</v>
      </c>
    </row>
    <row r="566" spans="2:9" x14ac:dyDescent="0.25">
      <c r="B566" s="86">
        <v>4</v>
      </c>
      <c r="C566" s="86">
        <v>8</v>
      </c>
      <c r="D566" s="49">
        <v>5</v>
      </c>
      <c r="E566" s="156">
        <v>10</v>
      </c>
      <c r="F566" s="179">
        <v>13</v>
      </c>
      <c r="G566" s="179">
        <v>23</v>
      </c>
      <c r="H566" s="157">
        <v>13</v>
      </c>
      <c r="I566" s="251">
        <v>1</v>
      </c>
    </row>
    <row r="567" spans="2:9" x14ac:dyDescent="0.25">
      <c r="B567" s="86">
        <v>4</v>
      </c>
      <c r="C567" s="85">
        <v>9</v>
      </c>
      <c r="D567" s="32">
        <v>1</v>
      </c>
      <c r="E567" s="152">
        <v>10</v>
      </c>
      <c r="F567" s="181">
        <v>13</v>
      </c>
      <c r="G567" s="181"/>
      <c r="H567" s="153"/>
      <c r="I567" s="249">
        <v>1</v>
      </c>
    </row>
    <row r="568" spans="2:9" x14ac:dyDescent="0.25">
      <c r="B568" s="86">
        <v>4</v>
      </c>
      <c r="C568" s="86">
        <v>9</v>
      </c>
      <c r="D568" s="49">
        <v>2</v>
      </c>
      <c r="E568" s="154">
        <v>10</v>
      </c>
      <c r="F568" s="163">
        <v>13</v>
      </c>
      <c r="G568" s="163">
        <v>12</v>
      </c>
      <c r="H568" s="155"/>
      <c r="I568" s="250">
        <v>1</v>
      </c>
    </row>
    <row r="569" spans="2:9" x14ac:dyDescent="0.25">
      <c r="B569" s="86">
        <v>4</v>
      </c>
      <c r="C569" s="86">
        <v>9</v>
      </c>
      <c r="D569" s="49">
        <v>3</v>
      </c>
      <c r="E569" s="154">
        <v>10</v>
      </c>
      <c r="F569" s="163">
        <v>13</v>
      </c>
      <c r="G569" s="163">
        <v>13</v>
      </c>
      <c r="H569" s="155">
        <v>12</v>
      </c>
      <c r="I569" s="250">
        <v>1</v>
      </c>
    </row>
    <row r="570" spans="2:9" x14ac:dyDescent="0.25">
      <c r="B570" s="86">
        <v>4</v>
      </c>
      <c r="C570" s="86">
        <v>9</v>
      </c>
      <c r="D570" s="49">
        <v>4</v>
      </c>
      <c r="E570" s="154">
        <v>10</v>
      </c>
      <c r="F570" s="163">
        <v>13</v>
      </c>
      <c r="G570" s="163">
        <v>23</v>
      </c>
      <c r="H570" s="155">
        <v>13</v>
      </c>
      <c r="I570" s="250">
        <v>1</v>
      </c>
    </row>
    <row r="571" spans="2:9" x14ac:dyDescent="0.25">
      <c r="B571" s="86">
        <v>4</v>
      </c>
      <c r="C571" s="87">
        <v>9</v>
      </c>
      <c r="D571" s="82">
        <v>5</v>
      </c>
      <c r="E571" s="156">
        <v>10</v>
      </c>
      <c r="F571" s="179">
        <v>13</v>
      </c>
      <c r="G571" s="179">
        <v>23</v>
      </c>
      <c r="H571" s="157">
        <v>13</v>
      </c>
      <c r="I571" s="251">
        <v>1</v>
      </c>
    </row>
    <row r="572" spans="2:9" x14ac:dyDescent="0.25">
      <c r="B572" s="86">
        <v>4</v>
      </c>
      <c r="C572" s="86">
        <v>10</v>
      </c>
      <c r="D572" s="49">
        <v>1</v>
      </c>
      <c r="E572" s="152">
        <v>10</v>
      </c>
      <c r="F572" s="181">
        <v>13</v>
      </c>
      <c r="G572" s="181"/>
      <c r="H572" s="153"/>
      <c r="I572" s="249">
        <v>1</v>
      </c>
    </row>
    <row r="573" spans="2:9" x14ac:dyDescent="0.25">
      <c r="B573" s="86">
        <v>4</v>
      </c>
      <c r="C573" s="86">
        <v>10</v>
      </c>
      <c r="D573" s="49">
        <v>2</v>
      </c>
      <c r="E573" s="154">
        <v>10</v>
      </c>
      <c r="F573" s="163">
        <v>13</v>
      </c>
      <c r="G573" s="163">
        <v>12</v>
      </c>
      <c r="H573" s="155"/>
      <c r="I573" s="250">
        <v>1</v>
      </c>
    </row>
    <row r="574" spans="2:9" x14ac:dyDescent="0.25">
      <c r="B574" s="86">
        <v>4</v>
      </c>
      <c r="C574" s="86">
        <v>10</v>
      </c>
      <c r="D574" s="49">
        <v>3</v>
      </c>
      <c r="E574" s="154">
        <v>10</v>
      </c>
      <c r="F574" s="163">
        <v>13</v>
      </c>
      <c r="G574" s="163">
        <v>13</v>
      </c>
      <c r="H574" s="155">
        <v>12</v>
      </c>
      <c r="I574" s="250">
        <v>1</v>
      </c>
    </row>
    <row r="575" spans="2:9" x14ac:dyDescent="0.25">
      <c r="B575" s="86">
        <v>4</v>
      </c>
      <c r="C575" s="86">
        <v>10</v>
      </c>
      <c r="D575" s="49">
        <v>4</v>
      </c>
      <c r="E575" s="154">
        <v>10</v>
      </c>
      <c r="F575" s="163">
        <v>13</v>
      </c>
      <c r="G575" s="163">
        <v>24</v>
      </c>
      <c r="H575" s="155">
        <v>13</v>
      </c>
      <c r="I575" s="250">
        <v>1</v>
      </c>
    </row>
    <row r="576" spans="2:9" x14ac:dyDescent="0.25">
      <c r="B576" s="87">
        <v>4</v>
      </c>
      <c r="C576" s="87">
        <v>10</v>
      </c>
      <c r="D576" s="82">
        <v>5</v>
      </c>
      <c r="E576" s="156">
        <v>10</v>
      </c>
      <c r="F576" s="179">
        <v>13</v>
      </c>
      <c r="G576" s="179">
        <v>24</v>
      </c>
      <c r="H576" s="157">
        <v>13</v>
      </c>
      <c r="I576" s="251">
        <v>1</v>
      </c>
    </row>
    <row r="577" spans="2:9" x14ac:dyDescent="0.25">
      <c r="B577" s="86">
        <v>5</v>
      </c>
      <c r="C577" s="85">
        <v>1</v>
      </c>
      <c r="D577" s="32">
        <v>1</v>
      </c>
      <c r="E577" s="152">
        <v>10</v>
      </c>
      <c r="F577" s="181">
        <v>15</v>
      </c>
      <c r="G577" s="181"/>
      <c r="H577" s="153"/>
      <c r="I577" s="249">
        <v>1</v>
      </c>
    </row>
    <row r="578" spans="2:9" x14ac:dyDescent="0.25">
      <c r="B578" s="86">
        <v>5</v>
      </c>
      <c r="C578" s="86">
        <v>1</v>
      </c>
      <c r="D578" s="49">
        <v>2</v>
      </c>
      <c r="E578" s="154">
        <v>10</v>
      </c>
      <c r="F578" s="163">
        <v>15</v>
      </c>
      <c r="G578" s="163">
        <v>14</v>
      </c>
      <c r="H578" s="155"/>
      <c r="I578" s="250">
        <v>1</v>
      </c>
    </row>
    <row r="579" spans="2:9" x14ac:dyDescent="0.25">
      <c r="B579" s="86">
        <v>5</v>
      </c>
      <c r="C579" s="86">
        <v>1</v>
      </c>
      <c r="D579" s="49">
        <v>3</v>
      </c>
      <c r="E579" s="154">
        <v>10</v>
      </c>
      <c r="F579" s="163">
        <v>15</v>
      </c>
      <c r="G579" s="163">
        <v>15</v>
      </c>
      <c r="H579" s="155">
        <v>14</v>
      </c>
      <c r="I579" s="250">
        <v>1</v>
      </c>
    </row>
    <row r="580" spans="2:9" x14ac:dyDescent="0.25">
      <c r="B580" s="86">
        <v>5</v>
      </c>
      <c r="C580" s="86">
        <v>1</v>
      </c>
      <c r="D580" s="49">
        <v>4</v>
      </c>
      <c r="E580" s="154">
        <v>10</v>
      </c>
      <c r="F580" s="163">
        <v>15</v>
      </c>
      <c r="G580" s="163">
        <v>24</v>
      </c>
      <c r="H580" s="155">
        <v>14</v>
      </c>
      <c r="I580" s="250">
        <v>1</v>
      </c>
    </row>
    <row r="581" spans="2:9" x14ac:dyDescent="0.25">
      <c r="B581" s="86">
        <v>5</v>
      </c>
      <c r="C581" s="87">
        <v>1</v>
      </c>
      <c r="D581" s="82">
        <v>5</v>
      </c>
      <c r="E581" s="156">
        <v>10</v>
      </c>
      <c r="F581" s="179">
        <v>15</v>
      </c>
      <c r="G581" s="179">
        <v>24</v>
      </c>
      <c r="H581" s="157">
        <v>14</v>
      </c>
      <c r="I581" s="251">
        <v>1</v>
      </c>
    </row>
    <row r="582" spans="2:9" x14ac:dyDescent="0.25">
      <c r="B582" s="86">
        <v>5</v>
      </c>
      <c r="C582" s="85">
        <v>2</v>
      </c>
      <c r="D582" s="32">
        <v>1</v>
      </c>
      <c r="E582" s="152">
        <v>10</v>
      </c>
      <c r="F582" s="181">
        <v>15</v>
      </c>
      <c r="G582" s="181"/>
      <c r="H582" s="153"/>
      <c r="I582" s="249">
        <v>1</v>
      </c>
    </row>
    <row r="583" spans="2:9" x14ac:dyDescent="0.25">
      <c r="B583" s="86">
        <v>5</v>
      </c>
      <c r="C583" s="86">
        <v>2</v>
      </c>
      <c r="D583" s="49">
        <v>2</v>
      </c>
      <c r="E583" s="154">
        <v>10</v>
      </c>
      <c r="F583" s="163">
        <v>15</v>
      </c>
      <c r="G583" s="163">
        <v>14</v>
      </c>
      <c r="H583" s="155"/>
      <c r="I583" s="250">
        <v>1</v>
      </c>
    </row>
    <row r="584" spans="2:9" x14ac:dyDescent="0.25">
      <c r="B584" s="86">
        <v>5</v>
      </c>
      <c r="C584" s="86">
        <v>2</v>
      </c>
      <c r="D584" s="49">
        <v>3</v>
      </c>
      <c r="E584" s="154">
        <v>10</v>
      </c>
      <c r="F584" s="163">
        <v>15</v>
      </c>
      <c r="G584" s="163">
        <v>15</v>
      </c>
      <c r="H584" s="155">
        <v>14</v>
      </c>
      <c r="I584" s="250">
        <v>1</v>
      </c>
    </row>
    <row r="585" spans="2:9" x14ac:dyDescent="0.25">
      <c r="B585" s="86">
        <v>5</v>
      </c>
      <c r="C585" s="86">
        <v>2</v>
      </c>
      <c r="D585" s="49">
        <v>4</v>
      </c>
      <c r="E585" s="154">
        <v>10</v>
      </c>
      <c r="F585" s="163">
        <v>15</v>
      </c>
      <c r="G585" s="163">
        <v>23</v>
      </c>
      <c r="H585" s="155">
        <v>14</v>
      </c>
      <c r="I585" s="250">
        <v>1</v>
      </c>
    </row>
    <row r="586" spans="2:9" x14ac:dyDescent="0.25">
      <c r="B586" s="86">
        <v>5</v>
      </c>
      <c r="C586" s="87">
        <v>2</v>
      </c>
      <c r="D586" s="82">
        <v>5</v>
      </c>
      <c r="E586" s="156">
        <v>10</v>
      </c>
      <c r="F586" s="179">
        <v>15</v>
      </c>
      <c r="G586" s="179">
        <v>23</v>
      </c>
      <c r="H586" s="157">
        <v>14</v>
      </c>
      <c r="I586" s="251">
        <v>1</v>
      </c>
    </row>
    <row r="587" spans="2:9" x14ac:dyDescent="0.25">
      <c r="B587" s="86">
        <v>5</v>
      </c>
      <c r="C587" s="86">
        <v>3</v>
      </c>
      <c r="D587" s="49">
        <v>1</v>
      </c>
      <c r="E587" s="152">
        <v>10</v>
      </c>
      <c r="F587" s="181">
        <v>15</v>
      </c>
      <c r="G587" s="181"/>
      <c r="H587" s="153"/>
      <c r="I587" s="249">
        <v>1</v>
      </c>
    </row>
    <row r="588" spans="2:9" x14ac:dyDescent="0.25">
      <c r="B588" s="86">
        <v>5</v>
      </c>
      <c r="C588" s="86">
        <v>3</v>
      </c>
      <c r="D588" s="49">
        <v>2</v>
      </c>
      <c r="E588" s="154">
        <v>10</v>
      </c>
      <c r="F588" s="163">
        <v>15</v>
      </c>
      <c r="G588" s="163">
        <v>14</v>
      </c>
      <c r="H588" s="155"/>
      <c r="I588" s="250">
        <v>1</v>
      </c>
    </row>
    <row r="589" spans="2:9" x14ac:dyDescent="0.25">
      <c r="B589" s="86">
        <v>5</v>
      </c>
      <c r="C589" s="86">
        <v>3</v>
      </c>
      <c r="D589" s="49">
        <v>3</v>
      </c>
      <c r="E589" s="154">
        <v>10</v>
      </c>
      <c r="F589" s="163">
        <v>15</v>
      </c>
      <c r="G589" s="163">
        <v>15</v>
      </c>
      <c r="H589" s="155">
        <v>14</v>
      </c>
      <c r="I589" s="250">
        <v>1</v>
      </c>
    </row>
    <row r="590" spans="2:9" x14ac:dyDescent="0.25">
      <c r="B590" s="86">
        <v>5</v>
      </c>
      <c r="C590" s="86">
        <v>3</v>
      </c>
      <c r="D590" s="49">
        <v>4</v>
      </c>
      <c r="E590" s="154">
        <v>10</v>
      </c>
      <c r="F590" s="163">
        <v>15</v>
      </c>
      <c r="G590" s="163">
        <v>23</v>
      </c>
      <c r="H590" s="155">
        <v>14</v>
      </c>
      <c r="I590" s="250">
        <v>1</v>
      </c>
    </row>
    <row r="591" spans="2:9" x14ac:dyDescent="0.25">
      <c r="B591" s="86">
        <v>5</v>
      </c>
      <c r="C591" s="86">
        <v>3</v>
      </c>
      <c r="D591" s="49">
        <v>5</v>
      </c>
      <c r="E591" s="156">
        <v>10</v>
      </c>
      <c r="F591" s="179">
        <v>15</v>
      </c>
      <c r="G591" s="179">
        <v>23</v>
      </c>
      <c r="H591" s="157">
        <v>14</v>
      </c>
      <c r="I591" s="251">
        <v>1</v>
      </c>
    </row>
    <row r="592" spans="2:9" x14ac:dyDescent="0.25">
      <c r="B592" s="86">
        <v>5</v>
      </c>
      <c r="C592" s="85">
        <v>4</v>
      </c>
      <c r="D592" s="32">
        <v>1</v>
      </c>
      <c r="E592" s="152">
        <v>10</v>
      </c>
      <c r="F592" s="181">
        <v>15</v>
      </c>
      <c r="G592" s="181"/>
      <c r="H592" s="153"/>
      <c r="I592" s="249">
        <v>1</v>
      </c>
    </row>
    <row r="593" spans="2:9" x14ac:dyDescent="0.25">
      <c r="B593" s="86">
        <v>5</v>
      </c>
      <c r="C593" s="86">
        <v>4</v>
      </c>
      <c r="D593" s="49">
        <v>2</v>
      </c>
      <c r="E593" s="154">
        <v>10</v>
      </c>
      <c r="F593" s="163">
        <v>15</v>
      </c>
      <c r="G593" s="163">
        <v>14</v>
      </c>
      <c r="H593" s="155"/>
      <c r="I593" s="250">
        <v>1</v>
      </c>
    </row>
    <row r="594" spans="2:9" x14ac:dyDescent="0.25">
      <c r="B594" s="86">
        <v>5</v>
      </c>
      <c r="C594" s="86">
        <v>4</v>
      </c>
      <c r="D594" s="49">
        <v>3</v>
      </c>
      <c r="E594" s="154">
        <v>10</v>
      </c>
      <c r="F594" s="163">
        <v>15</v>
      </c>
      <c r="G594" s="163">
        <v>15</v>
      </c>
      <c r="H594" s="155">
        <v>14</v>
      </c>
      <c r="I594" s="250">
        <v>1</v>
      </c>
    </row>
    <row r="595" spans="2:9" x14ac:dyDescent="0.25">
      <c r="B595" s="86">
        <v>5</v>
      </c>
      <c r="C595" s="86">
        <v>4</v>
      </c>
      <c r="D595" s="49">
        <v>4</v>
      </c>
      <c r="E595" s="154">
        <v>10</v>
      </c>
      <c r="F595" s="163">
        <v>15</v>
      </c>
      <c r="G595" s="163">
        <v>23</v>
      </c>
      <c r="H595" s="155">
        <v>14</v>
      </c>
      <c r="I595" s="250">
        <v>1</v>
      </c>
    </row>
    <row r="596" spans="2:9" x14ac:dyDescent="0.25">
      <c r="B596" s="86">
        <v>5</v>
      </c>
      <c r="C596" s="87">
        <v>4</v>
      </c>
      <c r="D596" s="82">
        <v>5</v>
      </c>
      <c r="E596" s="156">
        <v>10</v>
      </c>
      <c r="F596" s="179">
        <v>15</v>
      </c>
      <c r="G596" s="179">
        <v>23</v>
      </c>
      <c r="H596" s="157">
        <v>14</v>
      </c>
      <c r="I596" s="251">
        <v>1</v>
      </c>
    </row>
    <row r="597" spans="2:9" x14ac:dyDescent="0.25">
      <c r="B597" s="86">
        <v>5</v>
      </c>
      <c r="C597" s="86">
        <v>5</v>
      </c>
      <c r="D597" s="49">
        <v>1</v>
      </c>
      <c r="E597" s="152">
        <v>10</v>
      </c>
      <c r="F597" s="181">
        <v>15</v>
      </c>
      <c r="G597" s="181"/>
      <c r="H597" s="153"/>
      <c r="I597" s="249">
        <v>1</v>
      </c>
    </row>
    <row r="598" spans="2:9" x14ac:dyDescent="0.25">
      <c r="B598" s="86">
        <v>5</v>
      </c>
      <c r="C598" s="86">
        <v>5</v>
      </c>
      <c r="D598" s="49">
        <v>2</v>
      </c>
      <c r="E598" s="154">
        <v>10</v>
      </c>
      <c r="F598" s="163">
        <v>15</v>
      </c>
      <c r="G598" s="163">
        <v>14</v>
      </c>
      <c r="H598" s="155"/>
      <c r="I598" s="250">
        <v>1</v>
      </c>
    </row>
    <row r="599" spans="2:9" x14ac:dyDescent="0.25">
      <c r="B599" s="86">
        <v>5</v>
      </c>
      <c r="C599" s="86">
        <v>5</v>
      </c>
      <c r="D599" s="49">
        <v>3</v>
      </c>
      <c r="E599" s="154">
        <v>10</v>
      </c>
      <c r="F599" s="163">
        <v>15</v>
      </c>
      <c r="G599" s="163">
        <v>15</v>
      </c>
      <c r="H599" s="155">
        <v>14</v>
      </c>
      <c r="I599" s="250">
        <v>1</v>
      </c>
    </row>
    <row r="600" spans="2:9" x14ac:dyDescent="0.25">
      <c r="B600" s="86">
        <v>5</v>
      </c>
      <c r="C600" s="86">
        <v>5</v>
      </c>
      <c r="D600" s="49">
        <v>4</v>
      </c>
      <c r="E600" s="154">
        <v>10</v>
      </c>
      <c r="F600" s="163">
        <v>15</v>
      </c>
      <c r="G600" s="163">
        <v>23</v>
      </c>
      <c r="H600" s="155">
        <v>14</v>
      </c>
      <c r="I600" s="250">
        <v>1</v>
      </c>
    </row>
    <row r="601" spans="2:9" x14ac:dyDescent="0.25">
      <c r="B601" s="89">
        <v>5</v>
      </c>
      <c r="C601" s="87">
        <v>5</v>
      </c>
      <c r="D601" s="82">
        <v>5</v>
      </c>
      <c r="E601" s="156">
        <v>10</v>
      </c>
      <c r="F601" s="179">
        <v>15</v>
      </c>
      <c r="G601" s="179">
        <v>23</v>
      </c>
      <c r="H601" s="157">
        <v>14</v>
      </c>
      <c r="I601" s="251">
        <v>1</v>
      </c>
    </row>
    <row r="602" spans="2:9" x14ac:dyDescent="0.25">
      <c r="B602" s="86">
        <v>5</v>
      </c>
      <c r="C602" s="85">
        <v>6</v>
      </c>
      <c r="D602" s="32">
        <v>1</v>
      </c>
      <c r="E602" s="152">
        <v>10</v>
      </c>
      <c r="F602" s="181">
        <v>15</v>
      </c>
      <c r="G602" s="181"/>
      <c r="H602" s="153"/>
      <c r="I602" s="249">
        <v>1</v>
      </c>
    </row>
    <row r="603" spans="2:9" x14ac:dyDescent="0.25">
      <c r="B603" s="86">
        <v>5</v>
      </c>
      <c r="C603" s="86">
        <v>6</v>
      </c>
      <c r="D603" s="49">
        <v>2</v>
      </c>
      <c r="E603" s="154">
        <v>10</v>
      </c>
      <c r="F603" s="163">
        <v>15</v>
      </c>
      <c r="G603" s="163">
        <v>14</v>
      </c>
      <c r="H603" s="155"/>
      <c r="I603" s="250">
        <v>1</v>
      </c>
    </row>
    <row r="604" spans="2:9" x14ac:dyDescent="0.25">
      <c r="B604" s="86">
        <v>5</v>
      </c>
      <c r="C604" s="86">
        <v>6</v>
      </c>
      <c r="D604" s="49">
        <v>3</v>
      </c>
      <c r="E604" s="154">
        <v>10</v>
      </c>
      <c r="F604" s="163">
        <v>15</v>
      </c>
      <c r="G604" s="163">
        <v>15</v>
      </c>
      <c r="H604" s="155">
        <v>14</v>
      </c>
      <c r="I604" s="250">
        <v>1</v>
      </c>
    </row>
    <row r="605" spans="2:9" x14ac:dyDescent="0.25">
      <c r="B605" s="86">
        <v>5</v>
      </c>
      <c r="C605" s="86">
        <v>6</v>
      </c>
      <c r="D605" s="49">
        <v>4</v>
      </c>
      <c r="E605" s="154">
        <v>10</v>
      </c>
      <c r="F605" s="163">
        <v>15</v>
      </c>
      <c r="G605" s="163">
        <v>23</v>
      </c>
      <c r="H605" s="155">
        <v>14</v>
      </c>
      <c r="I605" s="250">
        <v>1</v>
      </c>
    </row>
    <row r="606" spans="2:9" x14ac:dyDescent="0.25">
      <c r="B606" s="86">
        <v>5</v>
      </c>
      <c r="C606" s="87">
        <v>6</v>
      </c>
      <c r="D606" s="82">
        <v>5</v>
      </c>
      <c r="E606" s="156">
        <v>10</v>
      </c>
      <c r="F606" s="179">
        <v>15</v>
      </c>
      <c r="G606" s="179">
        <v>23</v>
      </c>
      <c r="H606" s="157">
        <v>14</v>
      </c>
      <c r="I606" s="251">
        <v>1</v>
      </c>
    </row>
    <row r="607" spans="2:9" x14ac:dyDescent="0.25">
      <c r="B607" s="86">
        <v>5</v>
      </c>
      <c r="C607" s="85">
        <v>7</v>
      </c>
      <c r="D607" s="32">
        <v>1</v>
      </c>
      <c r="E607" s="152">
        <v>10</v>
      </c>
      <c r="F607" s="181">
        <v>15</v>
      </c>
      <c r="G607" s="181"/>
      <c r="H607" s="153"/>
      <c r="I607" s="249">
        <v>1</v>
      </c>
    </row>
    <row r="608" spans="2:9" x14ac:dyDescent="0.25">
      <c r="B608" s="86">
        <v>5</v>
      </c>
      <c r="C608" s="86">
        <v>7</v>
      </c>
      <c r="D608" s="49">
        <v>2</v>
      </c>
      <c r="E608" s="154">
        <v>10</v>
      </c>
      <c r="F608" s="163">
        <v>15</v>
      </c>
      <c r="G608" s="163">
        <v>14</v>
      </c>
      <c r="H608" s="155"/>
      <c r="I608" s="250">
        <v>1</v>
      </c>
    </row>
    <row r="609" spans="2:9" x14ac:dyDescent="0.25">
      <c r="B609" s="86">
        <v>5</v>
      </c>
      <c r="C609" s="86">
        <v>7</v>
      </c>
      <c r="D609" s="49">
        <v>3</v>
      </c>
      <c r="E609" s="154">
        <v>10</v>
      </c>
      <c r="F609" s="163">
        <v>15</v>
      </c>
      <c r="G609" s="163">
        <v>15</v>
      </c>
      <c r="H609" s="155">
        <v>14</v>
      </c>
      <c r="I609" s="250">
        <v>1</v>
      </c>
    </row>
    <row r="610" spans="2:9" x14ac:dyDescent="0.25">
      <c r="B610" s="86">
        <v>5</v>
      </c>
      <c r="C610" s="86">
        <v>7</v>
      </c>
      <c r="D610" s="49">
        <v>4</v>
      </c>
      <c r="E610" s="154">
        <v>10</v>
      </c>
      <c r="F610" s="163">
        <v>15</v>
      </c>
      <c r="G610" s="163">
        <v>23</v>
      </c>
      <c r="H610" s="155">
        <v>14</v>
      </c>
      <c r="I610" s="250">
        <v>1</v>
      </c>
    </row>
    <row r="611" spans="2:9" x14ac:dyDescent="0.25">
      <c r="B611" s="86">
        <v>5</v>
      </c>
      <c r="C611" s="87">
        <v>7</v>
      </c>
      <c r="D611" s="82">
        <v>5</v>
      </c>
      <c r="E611" s="156">
        <v>10</v>
      </c>
      <c r="F611" s="179">
        <v>15</v>
      </c>
      <c r="G611" s="179">
        <v>23</v>
      </c>
      <c r="H611" s="157">
        <v>14</v>
      </c>
      <c r="I611" s="251">
        <v>1</v>
      </c>
    </row>
    <row r="612" spans="2:9" x14ac:dyDescent="0.25">
      <c r="B612" s="86">
        <v>5</v>
      </c>
      <c r="C612" s="86">
        <v>8</v>
      </c>
      <c r="D612" s="49">
        <v>1</v>
      </c>
      <c r="E612" s="152">
        <v>10</v>
      </c>
      <c r="F612" s="181">
        <v>15</v>
      </c>
      <c r="G612" s="181"/>
      <c r="H612" s="153"/>
      <c r="I612" s="249">
        <v>1</v>
      </c>
    </row>
    <row r="613" spans="2:9" x14ac:dyDescent="0.25">
      <c r="B613" s="86">
        <v>5</v>
      </c>
      <c r="C613" s="86">
        <v>8</v>
      </c>
      <c r="D613" s="49">
        <v>2</v>
      </c>
      <c r="E613" s="154">
        <v>10</v>
      </c>
      <c r="F613" s="163">
        <v>15</v>
      </c>
      <c r="G613" s="163">
        <v>14</v>
      </c>
      <c r="H613" s="155"/>
      <c r="I613" s="250">
        <v>1</v>
      </c>
    </row>
    <row r="614" spans="2:9" x14ac:dyDescent="0.25">
      <c r="B614" s="86">
        <v>5</v>
      </c>
      <c r="C614" s="86">
        <v>8</v>
      </c>
      <c r="D614" s="49">
        <v>3</v>
      </c>
      <c r="E614" s="154">
        <v>10</v>
      </c>
      <c r="F614" s="163">
        <v>15</v>
      </c>
      <c r="G614" s="163">
        <v>15</v>
      </c>
      <c r="H614" s="155">
        <v>14</v>
      </c>
      <c r="I614" s="250">
        <v>1</v>
      </c>
    </row>
    <row r="615" spans="2:9" x14ac:dyDescent="0.25">
      <c r="B615" s="86">
        <v>5</v>
      </c>
      <c r="C615" s="86">
        <v>8</v>
      </c>
      <c r="D615" s="49">
        <v>4</v>
      </c>
      <c r="E615" s="154">
        <v>10</v>
      </c>
      <c r="F615" s="163">
        <v>15</v>
      </c>
      <c r="G615" s="163">
        <v>23</v>
      </c>
      <c r="H615" s="155">
        <v>14</v>
      </c>
      <c r="I615" s="250">
        <v>1</v>
      </c>
    </row>
    <row r="616" spans="2:9" x14ac:dyDescent="0.25">
      <c r="B616" s="86">
        <v>5</v>
      </c>
      <c r="C616" s="86">
        <v>8</v>
      </c>
      <c r="D616" s="49">
        <v>5</v>
      </c>
      <c r="E616" s="156">
        <v>10</v>
      </c>
      <c r="F616" s="179">
        <v>15</v>
      </c>
      <c r="G616" s="179">
        <v>23</v>
      </c>
      <c r="H616" s="157">
        <v>14</v>
      </c>
      <c r="I616" s="251">
        <v>1</v>
      </c>
    </row>
    <row r="617" spans="2:9" x14ac:dyDescent="0.25">
      <c r="B617" s="86">
        <v>5</v>
      </c>
      <c r="C617" s="85">
        <v>9</v>
      </c>
      <c r="D617" s="32">
        <v>1</v>
      </c>
      <c r="E617" s="152">
        <v>10</v>
      </c>
      <c r="F617" s="181">
        <v>15</v>
      </c>
      <c r="G617" s="181"/>
      <c r="H617" s="153"/>
      <c r="I617" s="249">
        <v>1</v>
      </c>
    </row>
    <row r="618" spans="2:9" x14ac:dyDescent="0.25">
      <c r="B618" s="86">
        <v>5</v>
      </c>
      <c r="C618" s="86">
        <v>9</v>
      </c>
      <c r="D618" s="49">
        <v>2</v>
      </c>
      <c r="E618" s="154">
        <v>10</v>
      </c>
      <c r="F618" s="163">
        <v>15</v>
      </c>
      <c r="G618" s="163">
        <v>14</v>
      </c>
      <c r="H618" s="155"/>
      <c r="I618" s="250">
        <v>1</v>
      </c>
    </row>
    <row r="619" spans="2:9" x14ac:dyDescent="0.25">
      <c r="B619" s="86">
        <v>5</v>
      </c>
      <c r="C619" s="86">
        <v>9</v>
      </c>
      <c r="D619" s="49">
        <v>3</v>
      </c>
      <c r="E619" s="154">
        <v>10</v>
      </c>
      <c r="F619" s="163">
        <v>15</v>
      </c>
      <c r="G619" s="163">
        <v>15</v>
      </c>
      <c r="H619" s="155">
        <v>14</v>
      </c>
      <c r="I619" s="250">
        <v>1</v>
      </c>
    </row>
    <row r="620" spans="2:9" x14ac:dyDescent="0.25">
      <c r="B620" s="86">
        <v>5</v>
      </c>
      <c r="C620" s="86">
        <v>9</v>
      </c>
      <c r="D620" s="49">
        <v>4</v>
      </c>
      <c r="E620" s="154">
        <v>10</v>
      </c>
      <c r="F620" s="163">
        <v>15</v>
      </c>
      <c r="G620" s="163">
        <v>23</v>
      </c>
      <c r="H620" s="155">
        <v>14</v>
      </c>
      <c r="I620" s="250">
        <v>1</v>
      </c>
    </row>
    <row r="621" spans="2:9" x14ac:dyDescent="0.25">
      <c r="B621" s="86">
        <v>5</v>
      </c>
      <c r="C621" s="87">
        <v>9</v>
      </c>
      <c r="D621" s="82">
        <v>5</v>
      </c>
      <c r="E621" s="156">
        <v>10</v>
      </c>
      <c r="F621" s="179">
        <v>15</v>
      </c>
      <c r="G621" s="179">
        <v>23</v>
      </c>
      <c r="H621" s="157">
        <v>14</v>
      </c>
      <c r="I621" s="251">
        <v>1</v>
      </c>
    </row>
    <row r="622" spans="2:9" x14ac:dyDescent="0.25">
      <c r="B622" s="86">
        <v>5</v>
      </c>
      <c r="C622" s="86">
        <v>10</v>
      </c>
      <c r="D622" s="49">
        <v>1</v>
      </c>
      <c r="E622" s="152">
        <v>10</v>
      </c>
      <c r="F622" s="181">
        <v>15</v>
      </c>
      <c r="G622" s="181"/>
      <c r="H622" s="153"/>
      <c r="I622" s="249">
        <v>1</v>
      </c>
    </row>
    <row r="623" spans="2:9" x14ac:dyDescent="0.25">
      <c r="B623" s="86">
        <v>5</v>
      </c>
      <c r="C623" s="86">
        <v>10</v>
      </c>
      <c r="D623" s="49">
        <v>2</v>
      </c>
      <c r="E623" s="154">
        <v>10</v>
      </c>
      <c r="F623" s="163">
        <v>15</v>
      </c>
      <c r="G623" s="163">
        <v>14</v>
      </c>
      <c r="H623" s="155"/>
      <c r="I623" s="250">
        <v>1</v>
      </c>
    </row>
    <row r="624" spans="2:9" x14ac:dyDescent="0.25">
      <c r="B624" s="86">
        <v>5</v>
      </c>
      <c r="C624" s="86">
        <v>10</v>
      </c>
      <c r="D624" s="49">
        <v>3</v>
      </c>
      <c r="E624" s="154">
        <v>10</v>
      </c>
      <c r="F624" s="163">
        <v>15</v>
      </c>
      <c r="G624" s="163">
        <v>15</v>
      </c>
      <c r="H624" s="155">
        <v>14</v>
      </c>
      <c r="I624" s="250">
        <v>1</v>
      </c>
    </row>
    <row r="625" spans="2:9" x14ac:dyDescent="0.25">
      <c r="B625" s="86">
        <v>5</v>
      </c>
      <c r="C625" s="86">
        <v>10</v>
      </c>
      <c r="D625" s="49">
        <v>4</v>
      </c>
      <c r="E625" s="154">
        <v>10</v>
      </c>
      <c r="F625" s="163">
        <v>15</v>
      </c>
      <c r="G625" s="163">
        <v>23</v>
      </c>
      <c r="H625" s="155">
        <v>14</v>
      </c>
      <c r="I625" s="250">
        <v>1</v>
      </c>
    </row>
    <row r="626" spans="2:9" x14ac:dyDescent="0.25">
      <c r="B626" s="87">
        <v>5</v>
      </c>
      <c r="C626" s="87">
        <v>10</v>
      </c>
      <c r="D626" s="82">
        <v>5</v>
      </c>
      <c r="E626" s="156">
        <v>10</v>
      </c>
      <c r="F626" s="179">
        <v>15</v>
      </c>
      <c r="G626" s="179">
        <v>23</v>
      </c>
      <c r="H626" s="157">
        <v>14</v>
      </c>
      <c r="I626" s="251">
        <v>1</v>
      </c>
    </row>
    <row r="627" spans="2:9" x14ac:dyDescent="0.25">
      <c r="B627" s="86">
        <v>6</v>
      </c>
      <c r="C627" s="85">
        <v>1</v>
      </c>
      <c r="D627" s="32">
        <v>1</v>
      </c>
      <c r="E627" s="152">
        <v>10</v>
      </c>
      <c r="F627" s="181">
        <v>17</v>
      </c>
      <c r="G627" s="181"/>
      <c r="H627" s="153"/>
      <c r="I627" s="249">
        <v>1</v>
      </c>
    </row>
    <row r="628" spans="2:9" x14ac:dyDescent="0.25">
      <c r="B628" s="86">
        <v>6</v>
      </c>
      <c r="C628" s="86">
        <v>1</v>
      </c>
      <c r="D628" s="49">
        <v>2</v>
      </c>
      <c r="E628" s="154">
        <v>10</v>
      </c>
      <c r="F628" s="163">
        <v>17</v>
      </c>
      <c r="G628" s="163">
        <v>16</v>
      </c>
      <c r="H628" s="155"/>
      <c r="I628" s="250">
        <v>1</v>
      </c>
    </row>
    <row r="629" spans="2:9" x14ac:dyDescent="0.25">
      <c r="B629" s="86">
        <v>6</v>
      </c>
      <c r="C629" s="86">
        <v>1</v>
      </c>
      <c r="D629" s="49">
        <v>3</v>
      </c>
      <c r="E629" s="154">
        <v>10</v>
      </c>
      <c r="F629" s="163">
        <v>17</v>
      </c>
      <c r="G629" s="163">
        <v>17</v>
      </c>
      <c r="H629" s="155">
        <v>16</v>
      </c>
      <c r="I629" s="250">
        <v>1</v>
      </c>
    </row>
    <row r="630" spans="2:9" x14ac:dyDescent="0.25">
      <c r="B630" s="86">
        <v>6</v>
      </c>
      <c r="C630" s="86">
        <v>1</v>
      </c>
      <c r="D630" s="49">
        <v>4</v>
      </c>
      <c r="E630" s="154">
        <v>10</v>
      </c>
      <c r="F630" s="163">
        <v>17</v>
      </c>
      <c r="G630" s="163">
        <v>24</v>
      </c>
      <c r="H630" s="155">
        <v>17</v>
      </c>
      <c r="I630" s="250">
        <v>1</v>
      </c>
    </row>
    <row r="631" spans="2:9" x14ac:dyDescent="0.25">
      <c r="B631" s="86">
        <v>6</v>
      </c>
      <c r="C631" s="87">
        <v>1</v>
      </c>
      <c r="D631" s="82">
        <v>5</v>
      </c>
      <c r="E631" s="156">
        <v>10</v>
      </c>
      <c r="F631" s="179">
        <v>17</v>
      </c>
      <c r="G631" s="179">
        <v>24</v>
      </c>
      <c r="H631" s="157">
        <v>17</v>
      </c>
      <c r="I631" s="251">
        <v>1</v>
      </c>
    </row>
    <row r="632" spans="2:9" x14ac:dyDescent="0.25">
      <c r="B632" s="86">
        <v>6</v>
      </c>
      <c r="C632" s="85">
        <v>2</v>
      </c>
      <c r="D632" s="32">
        <v>1</v>
      </c>
      <c r="E632" s="152">
        <v>10</v>
      </c>
      <c r="F632" s="181">
        <v>17</v>
      </c>
      <c r="G632" s="181"/>
      <c r="H632" s="153"/>
      <c r="I632" s="249">
        <v>1</v>
      </c>
    </row>
    <row r="633" spans="2:9" x14ac:dyDescent="0.25">
      <c r="B633" s="86">
        <v>6</v>
      </c>
      <c r="C633" s="86">
        <v>2</v>
      </c>
      <c r="D633" s="49">
        <v>2</v>
      </c>
      <c r="E633" s="154">
        <v>10</v>
      </c>
      <c r="F633" s="163">
        <v>17</v>
      </c>
      <c r="G633" s="163">
        <v>16</v>
      </c>
      <c r="H633" s="155"/>
      <c r="I633" s="250">
        <v>1</v>
      </c>
    </row>
    <row r="634" spans="2:9" x14ac:dyDescent="0.25">
      <c r="B634" s="86">
        <v>6</v>
      </c>
      <c r="C634" s="86">
        <v>2</v>
      </c>
      <c r="D634" s="49">
        <v>3</v>
      </c>
      <c r="E634" s="154">
        <v>10</v>
      </c>
      <c r="F634" s="163">
        <v>17</v>
      </c>
      <c r="G634" s="163">
        <v>17</v>
      </c>
      <c r="H634" s="155">
        <v>16</v>
      </c>
      <c r="I634" s="250">
        <v>1</v>
      </c>
    </row>
    <row r="635" spans="2:9" x14ac:dyDescent="0.25">
      <c r="B635" s="86">
        <v>6</v>
      </c>
      <c r="C635" s="86">
        <v>2</v>
      </c>
      <c r="D635" s="49">
        <v>4</v>
      </c>
      <c r="E635" s="154">
        <v>10</v>
      </c>
      <c r="F635" s="163">
        <v>17</v>
      </c>
      <c r="G635" s="163">
        <v>24</v>
      </c>
      <c r="H635" s="155">
        <v>17</v>
      </c>
      <c r="I635" s="250">
        <v>1</v>
      </c>
    </row>
    <row r="636" spans="2:9" x14ac:dyDescent="0.25">
      <c r="B636" s="86">
        <v>6</v>
      </c>
      <c r="C636" s="87">
        <v>2</v>
      </c>
      <c r="D636" s="82">
        <v>5</v>
      </c>
      <c r="E636" s="156">
        <v>10</v>
      </c>
      <c r="F636" s="179">
        <v>17</v>
      </c>
      <c r="G636" s="179">
        <v>24</v>
      </c>
      <c r="H636" s="157">
        <v>17</v>
      </c>
      <c r="I636" s="251">
        <v>1</v>
      </c>
    </row>
    <row r="637" spans="2:9" x14ac:dyDescent="0.25">
      <c r="B637" s="86">
        <v>6</v>
      </c>
      <c r="C637" s="86">
        <v>3</v>
      </c>
      <c r="D637" s="49">
        <v>1</v>
      </c>
      <c r="E637" s="152">
        <v>10</v>
      </c>
      <c r="F637" s="181">
        <v>17</v>
      </c>
      <c r="G637" s="181"/>
      <c r="H637" s="153"/>
      <c r="I637" s="249">
        <v>1</v>
      </c>
    </row>
    <row r="638" spans="2:9" x14ac:dyDescent="0.25">
      <c r="B638" s="86">
        <v>6</v>
      </c>
      <c r="C638" s="86">
        <v>3</v>
      </c>
      <c r="D638" s="49">
        <v>2</v>
      </c>
      <c r="E638" s="154">
        <v>10</v>
      </c>
      <c r="F638" s="163">
        <v>17</v>
      </c>
      <c r="G638" s="163">
        <v>16</v>
      </c>
      <c r="H638" s="155"/>
      <c r="I638" s="250">
        <v>1</v>
      </c>
    </row>
    <row r="639" spans="2:9" x14ac:dyDescent="0.25">
      <c r="B639" s="86">
        <v>6</v>
      </c>
      <c r="C639" s="86">
        <v>3</v>
      </c>
      <c r="D639" s="49">
        <v>3</v>
      </c>
      <c r="E639" s="154">
        <v>10</v>
      </c>
      <c r="F639" s="163">
        <v>17</v>
      </c>
      <c r="G639" s="163">
        <v>17</v>
      </c>
      <c r="H639" s="155">
        <v>16</v>
      </c>
      <c r="I639" s="250">
        <v>1</v>
      </c>
    </row>
    <row r="640" spans="2:9" x14ac:dyDescent="0.25">
      <c r="B640" s="86">
        <v>6</v>
      </c>
      <c r="C640" s="86">
        <v>3</v>
      </c>
      <c r="D640" s="49">
        <v>4</v>
      </c>
      <c r="E640" s="154">
        <v>10</v>
      </c>
      <c r="F640" s="163">
        <v>17</v>
      </c>
      <c r="G640" s="163">
        <v>23</v>
      </c>
      <c r="H640" s="155">
        <v>17</v>
      </c>
      <c r="I640" s="250">
        <v>1</v>
      </c>
    </row>
    <row r="641" spans="2:9" x14ac:dyDescent="0.25">
      <c r="B641" s="86">
        <v>6</v>
      </c>
      <c r="C641" s="86">
        <v>3</v>
      </c>
      <c r="D641" s="49">
        <v>5</v>
      </c>
      <c r="E641" s="156">
        <v>10</v>
      </c>
      <c r="F641" s="179">
        <v>17</v>
      </c>
      <c r="G641" s="179">
        <v>23</v>
      </c>
      <c r="H641" s="157">
        <v>17</v>
      </c>
      <c r="I641" s="251">
        <v>1</v>
      </c>
    </row>
    <row r="642" spans="2:9" x14ac:dyDescent="0.25">
      <c r="B642" s="86">
        <v>6</v>
      </c>
      <c r="C642" s="85">
        <v>4</v>
      </c>
      <c r="D642" s="32">
        <v>1</v>
      </c>
      <c r="E642" s="152">
        <v>10</v>
      </c>
      <c r="F642" s="181">
        <v>17</v>
      </c>
      <c r="G642" s="181"/>
      <c r="H642" s="153"/>
      <c r="I642" s="249">
        <v>1</v>
      </c>
    </row>
    <row r="643" spans="2:9" x14ac:dyDescent="0.25">
      <c r="B643" s="86">
        <v>6</v>
      </c>
      <c r="C643" s="86">
        <v>4</v>
      </c>
      <c r="D643" s="49">
        <v>2</v>
      </c>
      <c r="E643" s="154">
        <v>10</v>
      </c>
      <c r="F643" s="163">
        <v>17</v>
      </c>
      <c r="G643" s="163">
        <v>16</v>
      </c>
      <c r="H643" s="155"/>
      <c r="I643" s="250">
        <v>1</v>
      </c>
    </row>
    <row r="644" spans="2:9" x14ac:dyDescent="0.25">
      <c r="B644" s="86">
        <v>6</v>
      </c>
      <c r="C644" s="86">
        <v>4</v>
      </c>
      <c r="D644" s="49">
        <v>3</v>
      </c>
      <c r="E644" s="154">
        <v>10</v>
      </c>
      <c r="F644" s="163">
        <v>17</v>
      </c>
      <c r="G644" s="163">
        <v>17</v>
      </c>
      <c r="H644" s="155">
        <v>16</v>
      </c>
      <c r="I644" s="250">
        <v>1</v>
      </c>
    </row>
    <row r="645" spans="2:9" x14ac:dyDescent="0.25">
      <c r="B645" s="86">
        <v>6</v>
      </c>
      <c r="C645" s="86">
        <v>4</v>
      </c>
      <c r="D645" s="49">
        <v>4</v>
      </c>
      <c r="E645" s="154">
        <v>10</v>
      </c>
      <c r="F645" s="163">
        <v>17</v>
      </c>
      <c r="G645" s="163">
        <v>23</v>
      </c>
      <c r="H645" s="155">
        <v>17</v>
      </c>
      <c r="I645" s="250">
        <v>1</v>
      </c>
    </row>
    <row r="646" spans="2:9" x14ac:dyDescent="0.25">
      <c r="B646" s="86">
        <v>6</v>
      </c>
      <c r="C646" s="87">
        <v>4</v>
      </c>
      <c r="D646" s="82">
        <v>5</v>
      </c>
      <c r="E646" s="156">
        <v>10</v>
      </c>
      <c r="F646" s="179">
        <v>17</v>
      </c>
      <c r="G646" s="179">
        <v>23</v>
      </c>
      <c r="H646" s="157">
        <v>17</v>
      </c>
      <c r="I646" s="251">
        <v>1</v>
      </c>
    </row>
    <row r="647" spans="2:9" x14ac:dyDescent="0.25">
      <c r="B647" s="86">
        <v>6</v>
      </c>
      <c r="C647" s="86">
        <v>5</v>
      </c>
      <c r="D647" s="49">
        <v>1</v>
      </c>
      <c r="E647" s="152">
        <v>10</v>
      </c>
      <c r="F647" s="181">
        <v>17</v>
      </c>
      <c r="G647" s="181"/>
      <c r="H647" s="153"/>
      <c r="I647" s="249">
        <v>1</v>
      </c>
    </row>
    <row r="648" spans="2:9" x14ac:dyDescent="0.25">
      <c r="B648" s="86">
        <v>6</v>
      </c>
      <c r="C648" s="86">
        <v>5</v>
      </c>
      <c r="D648" s="49">
        <v>2</v>
      </c>
      <c r="E648" s="154">
        <v>10</v>
      </c>
      <c r="F648" s="163">
        <v>17</v>
      </c>
      <c r="G648" s="163">
        <v>16</v>
      </c>
      <c r="H648" s="155"/>
      <c r="I648" s="250">
        <v>1</v>
      </c>
    </row>
    <row r="649" spans="2:9" x14ac:dyDescent="0.25">
      <c r="B649" s="86">
        <v>6</v>
      </c>
      <c r="C649" s="86">
        <v>5</v>
      </c>
      <c r="D649" s="49">
        <v>3</v>
      </c>
      <c r="E649" s="154">
        <v>10</v>
      </c>
      <c r="F649" s="163">
        <v>17</v>
      </c>
      <c r="G649" s="163">
        <v>17</v>
      </c>
      <c r="H649" s="155">
        <v>16</v>
      </c>
      <c r="I649" s="250">
        <v>1</v>
      </c>
    </row>
    <row r="650" spans="2:9" x14ac:dyDescent="0.25">
      <c r="B650" s="86">
        <v>6</v>
      </c>
      <c r="C650" s="86">
        <v>5</v>
      </c>
      <c r="D650" s="49">
        <v>4</v>
      </c>
      <c r="E650" s="154">
        <v>10</v>
      </c>
      <c r="F650" s="163">
        <v>17</v>
      </c>
      <c r="G650" s="163">
        <v>23</v>
      </c>
      <c r="H650" s="155">
        <v>17</v>
      </c>
      <c r="I650" s="250">
        <v>1</v>
      </c>
    </row>
    <row r="651" spans="2:9" x14ac:dyDescent="0.25">
      <c r="B651" s="89">
        <v>6</v>
      </c>
      <c r="C651" s="87">
        <v>5</v>
      </c>
      <c r="D651" s="82">
        <v>5</v>
      </c>
      <c r="E651" s="156">
        <v>10</v>
      </c>
      <c r="F651" s="179">
        <v>17</v>
      </c>
      <c r="G651" s="179">
        <v>23</v>
      </c>
      <c r="H651" s="157">
        <v>17</v>
      </c>
      <c r="I651" s="251">
        <v>1</v>
      </c>
    </row>
    <row r="652" spans="2:9" x14ac:dyDescent="0.25">
      <c r="B652" s="86">
        <v>6</v>
      </c>
      <c r="C652" s="85">
        <v>6</v>
      </c>
      <c r="D652" s="32">
        <v>1</v>
      </c>
      <c r="E652" s="152">
        <v>10</v>
      </c>
      <c r="F652" s="181">
        <v>17</v>
      </c>
      <c r="G652" s="181"/>
      <c r="H652" s="153"/>
      <c r="I652" s="249">
        <v>1</v>
      </c>
    </row>
    <row r="653" spans="2:9" x14ac:dyDescent="0.25">
      <c r="B653" s="86">
        <v>6</v>
      </c>
      <c r="C653" s="86">
        <v>6</v>
      </c>
      <c r="D653" s="49">
        <v>2</v>
      </c>
      <c r="E653" s="154">
        <v>10</v>
      </c>
      <c r="F653" s="163">
        <v>17</v>
      </c>
      <c r="G653" s="163">
        <v>16</v>
      </c>
      <c r="H653" s="155"/>
      <c r="I653" s="250">
        <v>1</v>
      </c>
    </row>
    <row r="654" spans="2:9" x14ac:dyDescent="0.25">
      <c r="B654" s="86">
        <v>6</v>
      </c>
      <c r="C654" s="86">
        <v>6</v>
      </c>
      <c r="D654" s="49">
        <v>3</v>
      </c>
      <c r="E654" s="154">
        <v>10</v>
      </c>
      <c r="F654" s="163">
        <v>17</v>
      </c>
      <c r="G654" s="163">
        <v>17</v>
      </c>
      <c r="H654" s="155">
        <v>16</v>
      </c>
      <c r="I654" s="250">
        <v>1</v>
      </c>
    </row>
    <row r="655" spans="2:9" x14ac:dyDescent="0.25">
      <c r="B655" s="86">
        <v>6</v>
      </c>
      <c r="C655" s="86">
        <v>6</v>
      </c>
      <c r="D655" s="49">
        <v>4</v>
      </c>
      <c r="E655" s="154">
        <v>10</v>
      </c>
      <c r="F655" s="163">
        <v>17</v>
      </c>
      <c r="G655" s="163">
        <v>23</v>
      </c>
      <c r="H655" s="155">
        <v>17</v>
      </c>
      <c r="I655" s="250">
        <v>1</v>
      </c>
    </row>
    <row r="656" spans="2:9" x14ac:dyDescent="0.25">
      <c r="B656" s="86">
        <v>6</v>
      </c>
      <c r="C656" s="87">
        <v>6</v>
      </c>
      <c r="D656" s="82">
        <v>5</v>
      </c>
      <c r="E656" s="156">
        <v>10</v>
      </c>
      <c r="F656" s="179">
        <v>17</v>
      </c>
      <c r="G656" s="179">
        <v>23</v>
      </c>
      <c r="H656" s="157">
        <v>17</v>
      </c>
      <c r="I656" s="251">
        <v>1</v>
      </c>
    </row>
    <row r="657" spans="2:9" x14ac:dyDescent="0.25">
      <c r="B657" s="86">
        <v>6</v>
      </c>
      <c r="C657" s="85">
        <v>7</v>
      </c>
      <c r="D657" s="32">
        <v>1</v>
      </c>
      <c r="E657" s="152">
        <v>10</v>
      </c>
      <c r="F657" s="181">
        <v>17</v>
      </c>
      <c r="G657" s="181"/>
      <c r="H657" s="153"/>
      <c r="I657" s="249">
        <v>1</v>
      </c>
    </row>
    <row r="658" spans="2:9" x14ac:dyDescent="0.25">
      <c r="B658" s="86">
        <v>6</v>
      </c>
      <c r="C658" s="86">
        <v>7</v>
      </c>
      <c r="D658" s="49">
        <v>2</v>
      </c>
      <c r="E658" s="154">
        <v>10</v>
      </c>
      <c r="F658" s="163">
        <v>17</v>
      </c>
      <c r="G658" s="163">
        <v>16</v>
      </c>
      <c r="H658" s="155"/>
      <c r="I658" s="250">
        <v>1</v>
      </c>
    </row>
    <row r="659" spans="2:9" x14ac:dyDescent="0.25">
      <c r="B659" s="86">
        <v>6</v>
      </c>
      <c r="C659" s="86">
        <v>7</v>
      </c>
      <c r="D659" s="49">
        <v>3</v>
      </c>
      <c r="E659" s="154">
        <v>10</v>
      </c>
      <c r="F659" s="163">
        <v>17</v>
      </c>
      <c r="G659" s="163">
        <v>17</v>
      </c>
      <c r="H659" s="155">
        <v>16</v>
      </c>
      <c r="I659" s="250">
        <v>1</v>
      </c>
    </row>
    <row r="660" spans="2:9" x14ac:dyDescent="0.25">
      <c r="B660" s="86">
        <v>6</v>
      </c>
      <c r="C660" s="86">
        <v>7</v>
      </c>
      <c r="D660" s="49">
        <v>4</v>
      </c>
      <c r="E660" s="154">
        <v>10</v>
      </c>
      <c r="F660" s="163">
        <v>17</v>
      </c>
      <c r="G660" s="163">
        <v>23</v>
      </c>
      <c r="H660" s="155">
        <v>17</v>
      </c>
      <c r="I660" s="250">
        <v>1</v>
      </c>
    </row>
    <row r="661" spans="2:9" x14ac:dyDescent="0.25">
      <c r="B661" s="86">
        <v>6</v>
      </c>
      <c r="C661" s="87">
        <v>7</v>
      </c>
      <c r="D661" s="82">
        <v>5</v>
      </c>
      <c r="E661" s="156">
        <v>10</v>
      </c>
      <c r="F661" s="179">
        <v>17</v>
      </c>
      <c r="G661" s="179">
        <v>23</v>
      </c>
      <c r="H661" s="157">
        <v>17</v>
      </c>
      <c r="I661" s="251">
        <v>1</v>
      </c>
    </row>
    <row r="662" spans="2:9" x14ac:dyDescent="0.25">
      <c r="B662" s="86">
        <v>6</v>
      </c>
      <c r="C662" s="86">
        <v>8</v>
      </c>
      <c r="D662" s="49">
        <v>1</v>
      </c>
      <c r="E662" s="152">
        <v>10</v>
      </c>
      <c r="F662" s="181">
        <v>17</v>
      </c>
      <c r="G662" s="181"/>
      <c r="H662" s="153"/>
      <c r="I662" s="249">
        <v>1</v>
      </c>
    </row>
    <row r="663" spans="2:9" x14ac:dyDescent="0.25">
      <c r="B663" s="86">
        <v>6</v>
      </c>
      <c r="C663" s="86">
        <v>8</v>
      </c>
      <c r="D663" s="49">
        <v>2</v>
      </c>
      <c r="E663" s="154">
        <v>10</v>
      </c>
      <c r="F663" s="163">
        <v>17</v>
      </c>
      <c r="G663" s="163">
        <v>16</v>
      </c>
      <c r="H663" s="155"/>
      <c r="I663" s="250">
        <v>1</v>
      </c>
    </row>
    <row r="664" spans="2:9" x14ac:dyDescent="0.25">
      <c r="B664" s="86">
        <v>6</v>
      </c>
      <c r="C664" s="86">
        <v>8</v>
      </c>
      <c r="D664" s="49">
        <v>3</v>
      </c>
      <c r="E664" s="154">
        <v>10</v>
      </c>
      <c r="F664" s="163">
        <v>17</v>
      </c>
      <c r="G664" s="163">
        <v>17</v>
      </c>
      <c r="H664" s="155">
        <v>16</v>
      </c>
      <c r="I664" s="250">
        <v>1</v>
      </c>
    </row>
    <row r="665" spans="2:9" x14ac:dyDescent="0.25">
      <c r="B665" s="86">
        <v>6</v>
      </c>
      <c r="C665" s="86">
        <v>8</v>
      </c>
      <c r="D665" s="49">
        <v>4</v>
      </c>
      <c r="E665" s="154">
        <v>10</v>
      </c>
      <c r="F665" s="163">
        <v>17</v>
      </c>
      <c r="G665" s="163">
        <v>23</v>
      </c>
      <c r="H665" s="155">
        <v>17</v>
      </c>
      <c r="I665" s="250">
        <v>1</v>
      </c>
    </row>
    <row r="666" spans="2:9" x14ac:dyDescent="0.25">
      <c r="B666" s="86">
        <v>6</v>
      </c>
      <c r="C666" s="86">
        <v>8</v>
      </c>
      <c r="D666" s="49">
        <v>5</v>
      </c>
      <c r="E666" s="156">
        <v>10</v>
      </c>
      <c r="F666" s="179">
        <v>17</v>
      </c>
      <c r="G666" s="179">
        <v>23</v>
      </c>
      <c r="H666" s="157">
        <v>17</v>
      </c>
      <c r="I666" s="251">
        <v>1</v>
      </c>
    </row>
    <row r="667" spans="2:9" x14ac:dyDescent="0.25">
      <c r="B667" s="86">
        <v>6</v>
      </c>
      <c r="C667" s="85">
        <v>9</v>
      </c>
      <c r="D667" s="32">
        <v>1</v>
      </c>
      <c r="E667" s="152">
        <v>10</v>
      </c>
      <c r="F667" s="181">
        <v>17</v>
      </c>
      <c r="G667" s="181"/>
      <c r="H667" s="153"/>
      <c r="I667" s="249">
        <v>1</v>
      </c>
    </row>
    <row r="668" spans="2:9" x14ac:dyDescent="0.25">
      <c r="B668" s="86">
        <v>6</v>
      </c>
      <c r="C668" s="86">
        <v>9</v>
      </c>
      <c r="D668" s="49">
        <v>2</v>
      </c>
      <c r="E668" s="154">
        <v>10</v>
      </c>
      <c r="F668" s="163">
        <v>17</v>
      </c>
      <c r="G668" s="163">
        <v>16</v>
      </c>
      <c r="H668" s="155"/>
      <c r="I668" s="250">
        <v>1</v>
      </c>
    </row>
    <row r="669" spans="2:9" x14ac:dyDescent="0.25">
      <c r="B669" s="86">
        <v>6</v>
      </c>
      <c r="C669" s="86">
        <v>9</v>
      </c>
      <c r="D669" s="49">
        <v>3</v>
      </c>
      <c r="E669" s="154">
        <v>10</v>
      </c>
      <c r="F669" s="163">
        <v>17</v>
      </c>
      <c r="G669" s="163">
        <v>17</v>
      </c>
      <c r="H669" s="155">
        <v>16</v>
      </c>
      <c r="I669" s="250">
        <v>1</v>
      </c>
    </row>
    <row r="670" spans="2:9" x14ac:dyDescent="0.25">
      <c r="B670" s="86">
        <v>6</v>
      </c>
      <c r="C670" s="86">
        <v>9</v>
      </c>
      <c r="D670" s="49">
        <v>4</v>
      </c>
      <c r="E670" s="154">
        <v>10</v>
      </c>
      <c r="F670" s="163">
        <v>17</v>
      </c>
      <c r="G670" s="163">
        <v>23</v>
      </c>
      <c r="H670" s="155">
        <v>17</v>
      </c>
      <c r="I670" s="250">
        <v>1</v>
      </c>
    </row>
    <row r="671" spans="2:9" x14ac:dyDescent="0.25">
      <c r="B671" s="86">
        <v>6</v>
      </c>
      <c r="C671" s="87">
        <v>9</v>
      </c>
      <c r="D671" s="82">
        <v>5</v>
      </c>
      <c r="E671" s="156">
        <v>10</v>
      </c>
      <c r="F671" s="179">
        <v>17</v>
      </c>
      <c r="G671" s="179">
        <v>23</v>
      </c>
      <c r="H671" s="157">
        <v>17</v>
      </c>
      <c r="I671" s="251">
        <v>1</v>
      </c>
    </row>
    <row r="672" spans="2:9" x14ac:dyDescent="0.25">
      <c r="B672" s="86">
        <v>6</v>
      </c>
      <c r="C672" s="86">
        <v>10</v>
      </c>
      <c r="D672" s="49">
        <v>1</v>
      </c>
      <c r="E672" s="152">
        <v>10</v>
      </c>
      <c r="F672" s="181">
        <v>17</v>
      </c>
      <c r="G672" s="181"/>
      <c r="H672" s="153"/>
      <c r="I672" s="249">
        <v>1</v>
      </c>
    </row>
    <row r="673" spans="2:9" x14ac:dyDescent="0.25">
      <c r="B673" s="86">
        <v>6</v>
      </c>
      <c r="C673" s="86">
        <v>10</v>
      </c>
      <c r="D673" s="49">
        <v>2</v>
      </c>
      <c r="E673" s="154">
        <v>10</v>
      </c>
      <c r="F673" s="163">
        <v>17</v>
      </c>
      <c r="G673" s="163">
        <v>16</v>
      </c>
      <c r="H673" s="155"/>
      <c r="I673" s="250">
        <v>1</v>
      </c>
    </row>
    <row r="674" spans="2:9" x14ac:dyDescent="0.25">
      <c r="B674" s="86">
        <v>6</v>
      </c>
      <c r="C674" s="86">
        <v>10</v>
      </c>
      <c r="D674" s="49">
        <v>3</v>
      </c>
      <c r="E674" s="154">
        <v>10</v>
      </c>
      <c r="F674" s="163">
        <v>17</v>
      </c>
      <c r="G674" s="163">
        <v>17</v>
      </c>
      <c r="H674" s="155">
        <v>16</v>
      </c>
      <c r="I674" s="250">
        <v>1</v>
      </c>
    </row>
    <row r="675" spans="2:9" x14ac:dyDescent="0.25">
      <c r="B675" s="86">
        <v>6</v>
      </c>
      <c r="C675" s="86">
        <v>10</v>
      </c>
      <c r="D675" s="49">
        <v>4</v>
      </c>
      <c r="E675" s="154">
        <v>10</v>
      </c>
      <c r="F675" s="163">
        <v>17</v>
      </c>
      <c r="G675" s="163">
        <v>23</v>
      </c>
      <c r="H675" s="155">
        <v>17</v>
      </c>
      <c r="I675" s="250">
        <v>1</v>
      </c>
    </row>
    <row r="676" spans="2:9" x14ac:dyDescent="0.25">
      <c r="B676" s="87">
        <v>6</v>
      </c>
      <c r="C676" s="87">
        <v>10</v>
      </c>
      <c r="D676" s="82">
        <v>5</v>
      </c>
      <c r="E676" s="156">
        <v>10</v>
      </c>
      <c r="F676" s="179">
        <v>17</v>
      </c>
      <c r="G676" s="179">
        <v>23</v>
      </c>
      <c r="H676" s="157">
        <v>17</v>
      </c>
      <c r="I676" s="251">
        <v>1</v>
      </c>
    </row>
    <row r="677" spans="2:9" x14ac:dyDescent="0.25">
      <c r="B677" s="86">
        <v>7</v>
      </c>
      <c r="C677" s="85">
        <v>1</v>
      </c>
      <c r="D677" s="32">
        <v>1</v>
      </c>
      <c r="E677" s="152">
        <v>10</v>
      </c>
      <c r="F677" s="181">
        <v>19</v>
      </c>
      <c r="G677" s="181"/>
      <c r="H677" s="153"/>
      <c r="I677" s="249">
        <v>1</v>
      </c>
    </row>
    <row r="678" spans="2:9" x14ac:dyDescent="0.25">
      <c r="B678" s="86">
        <v>7</v>
      </c>
      <c r="C678" s="86">
        <v>1</v>
      </c>
      <c r="D678" s="49">
        <v>2</v>
      </c>
      <c r="E678" s="154">
        <v>10</v>
      </c>
      <c r="F678" s="163">
        <v>19</v>
      </c>
      <c r="G678" s="163">
        <v>18</v>
      </c>
      <c r="H678" s="155"/>
      <c r="I678" s="250">
        <v>1</v>
      </c>
    </row>
    <row r="679" spans="2:9" x14ac:dyDescent="0.25">
      <c r="B679" s="86">
        <v>7</v>
      </c>
      <c r="C679" s="86">
        <v>1</v>
      </c>
      <c r="D679" s="49">
        <v>3</v>
      </c>
      <c r="E679" s="154">
        <v>10</v>
      </c>
      <c r="F679" s="163">
        <v>19</v>
      </c>
      <c r="G679" s="163">
        <v>19</v>
      </c>
      <c r="H679" s="155">
        <v>18</v>
      </c>
      <c r="I679" s="250">
        <v>1</v>
      </c>
    </row>
    <row r="680" spans="2:9" x14ac:dyDescent="0.25">
      <c r="B680" s="86">
        <v>7</v>
      </c>
      <c r="C680" s="86">
        <v>1</v>
      </c>
      <c r="D680" s="49">
        <v>4</v>
      </c>
      <c r="E680" s="154">
        <v>10</v>
      </c>
      <c r="F680" s="163">
        <v>19</v>
      </c>
      <c r="G680" s="163">
        <v>24</v>
      </c>
      <c r="H680" s="155">
        <v>19</v>
      </c>
      <c r="I680" s="250">
        <v>1</v>
      </c>
    </row>
    <row r="681" spans="2:9" x14ac:dyDescent="0.25">
      <c r="B681" s="86">
        <v>7</v>
      </c>
      <c r="C681" s="87">
        <v>1</v>
      </c>
      <c r="D681" s="82">
        <v>5</v>
      </c>
      <c r="E681" s="156">
        <v>10</v>
      </c>
      <c r="F681" s="179">
        <v>19</v>
      </c>
      <c r="G681" s="179">
        <v>24</v>
      </c>
      <c r="H681" s="157">
        <v>19</v>
      </c>
      <c r="I681" s="251">
        <v>1</v>
      </c>
    </row>
    <row r="682" spans="2:9" x14ac:dyDescent="0.25">
      <c r="B682" s="86">
        <v>7</v>
      </c>
      <c r="C682" s="85">
        <v>2</v>
      </c>
      <c r="D682" s="32">
        <v>1</v>
      </c>
      <c r="E682" s="152">
        <v>10</v>
      </c>
      <c r="F682" s="181">
        <v>19</v>
      </c>
      <c r="G682" s="181"/>
      <c r="H682" s="153"/>
      <c r="I682" s="249">
        <v>1</v>
      </c>
    </row>
    <row r="683" spans="2:9" x14ac:dyDescent="0.25">
      <c r="B683" s="86">
        <v>7</v>
      </c>
      <c r="C683" s="86">
        <v>2</v>
      </c>
      <c r="D683" s="49">
        <v>2</v>
      </c>
      <c r="E683" s="154">
        <v>10</v>
      </c>
      <c r="F683" s="163">
        <v>19</v>
      </c>
      <c r="G683" s="163">
        <v>18</v>
      </c>
      <c r="H683" s="155"/>
      <c r="I683" s="250">
        <v>1</v>
      </c>
    </row>
    <row r="684" spans="2:9" x14ac:dyDescent="0.25">
      <c r="B684" s="86">
        <v>7</v>
      </c>
      <c r="C684" s="86">
        <v>2</v>
      </c>
      <c r="D684" s="49">
        <v>3</v>
      </c>
      <c r="E684" s="154">
        <v>10</v>
      </c>
      <c r="F684" s="163">
        <v>19</v>
      </c>
      <c r="G684" s="163">
        <v>19</v>
      </c>
      <c r="H684" s="155">
        <v>18</v>
      </c>
      <c r="I684" s="250">
        <v>1</v>
      </c>
    </row>
    <row r="685" spans="2:9" x14ac:dyDescent="0.25">
      <c r="B685" s="86">
        <v>7</v>
      </c>
      <c r="C685" s="86">
        <v>2</v>
      </c>
      <c r="D685" s="49">
        <v>4</v>
      </c>
      <c r="E685" s="154">
        <v>10</v>
      </c>
      <c r="F685" s="163">
        <v>19</v>
      </c>
      <c r="G685" s="163">
        <v>24</v>
      </c>
      <c r="H685" s="155">
        <v>19</v>
      </c>
      <c r="I685" s="250">
        <v>1</v>
      </c>
    </row>
    <row r="686" spans="2:9" x14ac:dyDescent="0.25">
      <c r="B686" s="86">
        <v>7</v>
      </c>
      <c r="C686" s="87">
        <v>2</v>
      </c>
      <c r="D686" s="82">
        <v>5</v>
      </c>
      <c r="E686" s="156">
        <v>10</v>
      </c>
      <c r="F686" s="179">
        <v>19</v>
      </c>
      <c r="G686" s="179">
        <v>24</v>
      </c>
      <c r="H686" s="157">
        <v>19</v>
      </c>
      <c r="I686" s="251">
        <v>1</v>
      </c>
    </row>
    <row r="687" spans="2:9" x14ac:dyDescent="0.25">
      <c r="B687" s="86">
        <v>7</v>
      </c>
      <c r="C687" s="86">
        <v>3</v>
      </c>
      <c r="D687" s="49">
        <v>1</v>
      </c>
      <c r="E687" s="152">
        <v>10</v>
      </c>
      <c r="F687" s="181">
        <v>19</v>
      </c>
      <c r="G687" s="181"/>
      <c r="H687" s="153"/>
      <c r="I687" s="249">
        <v>1</v>
      </c>
    </row>
    <row r="688" spans="2:9" x14ac:dyDescent="0.25">
      <c r="B688" s="86">
        <v>7</v>
      </c>
      <c r="C688" s="86">
        <v>3</v>
      </c>
      <c r="D688" s="49">
        <v>2</v>
      </c>
      <c r="E688" s="154">
        <v>10</v>
      </c>
      <c r="F688" s="163">
        <v>19</v>
      </c>
      <c r="G688" s="163">
        <v>18</v>
      </c>
      <c r="H688" s="155"/>
      <c r="I688" s="250">
        <v>1</v>
      </c>
    </row>
    <row r="689" spans="2:9" x14ac:dyDescent="0.25">
      <c r="B689" s="86">
        <v>7</v>
      </c>
      <c r="C689" s="86">
        <v>3</v>
      </c>
      <c r="D689" s="49">
        <v>3</v>
      </c>
      <c r="E689" s="154">
        <v>10</v>
      </c>
      <c r="F689" s="163">
        <v>19</v>
      </c>
      <c r="G689" s="163">
        <v>19</v>
      </c>
      <c r="H689" s="155">
        <v>18</v>
      </c>
      <c r="I689" s="250">
        <v>1</v>
      </c>
    </row>
    <row r="690" spans="2:9" x14ac:dyDescent="0.25">
      <c r="B690" s="86">
        <v>7</v>
      </c>
      <c r="C690" s="86">
        <v>3</v>
      </c>
      <c r="D690" s="49">
        <v>4</v>
      </c>
      <c r="E690" s="154">
        <v>10</v>
      </c>
      <c r="F690" s="163">
        <v>19</v>
      </c>
      <c r="G690" s="163">
        <v>23</v>
      </c>
      <c r="H690" s="155">
        <v>19</v>
      </c>
      <c r="I690" s="250">
        <v>1</v>
      </c>
    </row>
    <row r="691" spans="2:9" x14ac:dyDescent="0.25">
      <c r="B691" s="86">
        <v>7</v>
      </c>
      <c r="C691" s="86">
        <v>3</v>
      </c>
      <c r="D691" s="49">
        <v>5</v>
      </c>
      <c r="E691" s="156">
        <v>10</v>
      </c>
      <c r="F691" s="179">
        <v>19</v>
      </c>
      <c r="G691" s="179">
        <v>23</v>
      </c>
      <c r="H691" s="157">
        <v>19</v>
      </c>
      <c r="I691" s="251">
        <v>1</v>
      </c>
    </row>
    <row r="692" spans="2:9" x14ac:dyDescent="0.25">
      <c r="B692" s="86">
        <v>7</v>
      </c>
      <c r="C692" s="85">
        <v>4</v>
      </c>
      <c r="D692" s="32">
        <v>1</v>
      </c>
      <c r="E692" s="152">
        <v>10</v>
      </c>
      <c r="F692" s="181">
        <v>19</v>
      </c>
      <c r="G692" s="181"/>
      <c r="H692" s="153"/>
      <c r="I692" s="249">
        <v>1</v>
      </c>
    </row>
    <row r="693" spans="2:9" x14ac:dyDescent="0.25">
      <c r="B693" s="86">
        <v>7</v>
      </c>
      <c r="C693" s="86">
        <v>4</v>
      </c>
      <c r="D693" s="49">
        <v>2</v>
      </c>
      <c r="E693" s="154">
        <v>10</v>
      </c>
      <c r="F693" s="163">
        <v>19</v>
      </c>
      <c r="G693" s="163">
        <v>18</v>
      </c>
      <c r="H693" s="155"/>
      <c r="I693" s="250">
        <v>1</v>
      </c>
    </row>
    <row r="694" spans="2:9" x14ac:dyDescent="0.25">
      <c r="B694" s="86">
        <v>7</v>
      </c>
      <c r="C694" s="86">
        <v>4</v>
      </c>
      <c r="D694" s="49">
        <v>3</v>
      </c>
      <c r="E694" s="154">
        <v>10</v>
      </c>
      <c r="F694" s="163">
        <v>19</v>
      </c>
      <c r="G694" s="163">
        <v>19</v>
      </c>
      <c r="H694" s="155">
        <v>18</v>
      </c>
      <c r="I694" s="250">
        <v>1</v>
      </c>
    </row>
    <row r="695" spans="2:9" x14ac:dyDescent="0.25">
      <c r="B695" s="86">
        <v>7</v>
      </c>
      <c r="C695" s="86">
        <v>4</v>
      </c>
      <c r="D695" s="49">
        <v>4</v>
      </c>
      <c r="E695" s="154">
        <v>10</v>
      </c>
      <c r="F695" s="163">
        <v>19</v>
      </c>
      <c r="G695" s="163">
        <v>23</v>
      </c>
      <c r="H695" s="155">
        <v>19</v>
      </c>
      <c r="I695" s="250">
        <v>1</v>
      </c>
    </row>
    <row r="696" spans="2:9" x14ac:dyDescent="0.25">
      <c r="B696" s="86">
        <v>7</v>
      </c>
      <c r="C696" s="87">
        <v>4</v>
      </c>
      <c r="D696" s="82">
        <v>5</v>
      </c>
      <c r="E696" s="156">
        <v>10</v>
      </c>
      <c r="F696" s="179">
        <v>19</v>
      </c>
      <c r="G696" s="179">
        <v>23</v>
      </c>
      <c r="H696" s="157">
        <v>19</v>
      </c>
      <c r="I696" s="251">
        <v>1</v>
      </c>
    </row>
    <row r="697" spans="2:9" x14ac:dyDescent="0.25">
      <c r="B697" s="86">
        <v>7</v>
      </c>
      <c r="C697" s="86">
        <v>5</v>
      </c>
      <c r="D697" s="49">
        <v>1</v>
      </c>
      <c r="E697" s="152">
        <v>10</v>
      </c>
      <c r="F697" s="181">
        <v>19</v>
      </c>
      <c r="G697" s="181"/>
      <c r="H697" s="153"/>
      <c r="I697" s="249">
        <v>1</v>
      </c>
    </row>
    <row r="698" spans="2:9" x14ac:dyDescent="0.25">
      <c r="B698" s="86">
        <v>7</v>
      </c>
      <c r="C698" s="86">
        <v>5</v>
      </c>
      <c r="D698" s="49">
        <v>2</v>
      </c>
      <c r="E698" s="154">
        <v>10</v>
      </c>
      <c r="F698" s="163">
        <v>19</v>
      </c>
      <c r="G698" s="163">
        <v>18</v>
      </c>
      <c r="H698" s="155"/>
      <c r="I698" s="250">
        <v>1</v>
      </c>
    </row>
    <row r="699" spans="2:9" x14ac:dyDescent="0.25">
      <c r="B699" s="86">
        <v>7</v>
      </c>
      <c r="C699" s="86">
        <v>5</v>
      </c>
      <c r="D699" s="49">
        <v>3</v>
      </c>
      <c r="E699" s="154">
        <v>10</v>
      </c>
      <c r="F699" s="163">
        <v>19</v>
      </c>
      <c r="G699" s="163">
        <v>19</v>
      </c>
      <c r="H699" s="155">
        <v>18</v>
      </c>
      <c r="I699" s="250">
        <v>1</v>
      </c>
    </row>
    <row r="700" spans="2:9" x14ac:dyDescent="0.25">
      <c r="B700" s="86">
        <v>7</v>
      </c>
      <c r="C700" s="86">
        <v>5</v>
      </c>
      <c r="D700" s="49">
        <v>4</v>
      </c>
      <c r="E700" s="154">
        <v>10</v>
      </c>
      <c r="F700" s="163">
        <v>19</v>
      </c>
      <c r="G700" s="163">
        <v>23</v>
      </c>
      <c r="H700" s="155">
        <v>19</v>
      </c>
      <c r="I700" s="250">
        <v>1</v>
      </c>
    </row>
    <row r="701" spans="2:9" x14ac:dyDescent="0.25">
      <c r="B701" s="89">
        <v>7</v>
      </c>
      <c r="C701" s="87">
        <v>5</v>
      </c>
      <c r="D701" s="82">
        <v>5</v>
      </c>
      <c r="E701" s="156">
        <v>10</v>
      </c>
      <c r="F701" s="179">
        <v>19</v>
      </c>
      <c r="G701" s="179">
        <v>23</v>
      </c>
      <c r="H701" s="157">
        <v>19</v>
      </c>
      <c r="I701" s="251">
        <v>1</v>
      </c>
    </row>
    <row r="702" spans="2:9" x14ac:dyDescent="0.25">
      <c r="B702" s="86">
        <v>7</v>
      </c>
      <c r="C702" s="85">
        <v>6</v>
      </c>
      <c r="D702" s="32">
        <v>1</v>
      </c>
      <c r="E702" s="152">
        <v>10</v>
      </c>
      <c r="F702" s="181">
        <v>19</v>
      </c>
      <c r="G702" s="181"/>
      <c r="H702" s="153"/>
      <c r="I702" s="249">
        <v>1</v>
      </c>
    </row>
    <row r="703" spans="2:9" x14ac:dyDescent="0.25">
      <c r="B703" s="86">
        <v>7</v>
      </c>
      <c r="C703" s="86">
        <v>6</v>
      </c>
      <c r="D703" s="49">
        <v>2</v>
      </c>
      <c r="E703" s="154">
        <v>10</v>
      </c>
      <c r="F703" s="163">
        <v>19</v>
      </c>
      <c r="G703" s="163">
        <v>18</v>
      </c>
      <c r="H703" s="155"/>
      <c r="I703" s="250">
        <v>1</v>
      </c>
    </row>
    <row r="704" spans="2:9" x14ac:dyDescent="0.25">
      <c r="B704" s="86">
        <v>7</v>
      </c>
      <c r="C704" s="86">
        <v>6</v>
      </c>
      <c r="D704" s="49">
        <v>3</v>
      </c>
      <c r="E704" s="154">
        <v>10</v>
      </c>
      <c r="F704" s="163">
        <v>19</v>
      </c>
      <c r="G704" s="163">
        <v>19</v>
      </c>
      <c r="H704" s="155">
        <v>18</v>
      </c>
      <c r="I704" s="250">
        <v>1</v>
      </c>
    </row>
    <row r="705" spans="2:9" x14ac:dyDescent="0.25">
      <c r="B705" s="86">
        <v>7</v>
      </c>
      <c r="C705" s="86">
        <v>6</v>
      </c>
      <c r="D705" s="49">
        <v>4</v>
      </c>
      <c r="E705" s="154">
        <v>10</v>
      </c>
      <c r="F705" s="163">
        <v>19</v>
      </c>
      <c r="G705" s="163">
        <v>23</v>
      </c>
      <c r="H705" s="155">
        <v>19</v>
      </c>
      <c r="I705" s="250">
        <v>1</v>
      </c>
    </row>
    <row r="706" spans="2:9" x14ac:dyDescent="0.25">
      <c r="B706" s="86">
        <v>7</v>
      </c>
      <c r="C706" s="87">
        <v>6</v>
      </c>
      <c r="D706" s="82">
        <v>5</v>
      </c>
      <c r="E706" s="156">
        <v>10</v>
      </c>
      <c r="F706" s="179">
        <v>19</v>
      </c>
      <c r="G706" s="179">
        <v>23</v>
      </c>
      <c r="H706" s="157">
        <v>19</v>
      </c>
      <c r="I706" s="251">
        <v>1</v>
      </c>
    </row>
    <row r="707" spans="2:9" x14ac:dyDescent="0.25">
      <c r="B707" s="86">
        <v>7</v>
      </c>
      <c r="C707" s="85">
        <v>7</v>
      </c>
      <c r="D707" s="32">
        <v>1</v>
      </c>
      <c r="E707" s="152">
        <v>10</v>
      </c>
      <c r="F707" s="181">
        <v>19</v>
      </c>
      <c r="G707" s="181"/>
      <c r="H707" s="153"/>
      <c r="I707" s="249">
        <v>1</v>
      </c>
    </row>
    <row r="708" spans="2:9" x14ac:dyDescent="0.25">
      <c r="B708" s="86">
        <v>7</v>
      </c>
      <c r="C708" s="86">
        <v>7</v>
      </c>
      <c r="D708" s="49">
        <v>2</v>
      </c>
      <c r="E708" s="154">
        <v>10</v>
      </c>
      <c r="F708" s="163">
        <v>19</v>
      </c>
      <c r="G708" s="163">
        <v>18</v>
      </c>
      <c r="H708" s="155"/>
      <c r="I708" s="250">
        <v>1</v>
      </c>
    </row>
    <row r="709" spans="2:9" x14ac:dyDescent="0.25">
      <c r="B709" s="86">
        <v>7</v>
      </c>
      <c r="C709" s="86">
        <v>7</v>
      </c>
      <c r="D709" s="49">
        <v>3</v>
      </c>
      <c r="E709" s="154">
        <v>10</v>
      </c>
      <c r="F709" s="163">
        <v>19</v>
      </c>
      <c r="G709" s="163">
        <v>19</v>
      </c>
      <c r="H709" s="155">
        <v>18</v>
      </c>
      <c r="I709" s="250">
        <v>1</v>
      </c>
    </row>
    <row r="710" spans="2:9" x14ac:dyDescent="0.25">
      <c r="B710" s="86">
        <v>7</v>
      </c>
      <c r="C710" s="86">
        <v>7</v>
      </c>
      <c r="D710" s="49">
        <v>4</v>
      </c>
      <c r="E710" s="154">
        <v>10</v>
      </c>
      <c r="F710" s="163">
        <v>19</v>
      </c>
      <c r="G710" s="163">
        <v>23</v>
      </c>
      <c r="H710" s="155">
        <v>19</v>
      </c>
      <c r="I710" s="250">
        <v>1</v>
      </c>
    </row>
    <row r="711" spans="2:9" x14ac:dyDescent="0.25">
      <c r="B711" s="86">
        <v>7</v>
      </c>
      <c r="C711" s="87">
        <v>7</v>
      </c>
      <c r="D711" s="82">
        <v>5</v>
      </c>
      <c r="E711" s="156">
        <v>10</v>
      </c>
      <c r="F711" s="179">
        <v>19</v>
      </c>
      <c r="G711" s="179">
        <v>23</v>
      </c>
      <c r="H711" s="157">
        <v>19</v>
      </c>
      <c r="I711" s="251">
        <v>1</v>
      </c>
    </row>
    <row r="712" spans="2:9" x14ac:dyDescent="0.25">
      <c r="B712" s="86">
        <v>7</v>
      </c>
      <c r="C712" s="86">
        <v>8</v>
      </c>
      <c r="D712" s="49">
        <v>1</v>
      </c>
      <c r="E712" s="152">
        <v>10</v>
      </c>
      <c r="F712" s="181">
        <v>19</v>
      </c>
      <c r="G712" s="181"/>
      <c r="H712" s="153"/>
      <c r="I712" s="249">
        <v>1</v>
      </c>
    </row>
    <row r="713" spans="2:9" x14ac:dyDescent="0.25">
      <c r="B713" s="86">
        <v>7</v>
      </c>
      <c r="C713" s="86">
        <v>8</v>
      </c>
      <c r="D713" s="49">
        <v>2</v>
      </c>
      <c r="E713" s="154">
        <v>10</v>
      </c>
      <c r="F713" s="163">
        <v>19</v>
      </c>
      <c r="G713" s="163">
        <v>18</v>
      </c>
      <c r="H713" s="155"/>
      <c r="I713" s="250">
        <v>1</v>
      </c>
    </row>
    <row r="714" spans="2:9" x14ac:dyDescent="0.25">
      <c r="B714" s="86">
        <v>7</v>
      </c>
      <c r="C714" s="86">
        <v>8</v>
      </c>
      <c r="D714" s="49">
        <v>3</v>
      </c>
      <c r="E714" s="154">
        <v>10</v>
      </c>
      <c r="F714" s="163">
        <v>19</v>
      </c>
      <c r="G714" s="163">
        <v>19</v>
      </c>
      <c r="H714" s="155">
        <v>18</v>
      </c>
      <c r="I714" s="250">
        <v>1</v>
      </c>
    </row>
    <row r="715" spans="2:9" x14ac:dyDescent="0.25">
      <c r="B715" s="86">
        <v>7</v>
      </c>
      <c r="C715" s="86">
        <v>8</v>
      </c>
      <c r="D715" s="49">
        <v>4</v>
      </c>
      <c r="E715" s="154">
        <v>10</v>
      </c>
      <c r="F715" s="163">
        <v>19</v>
      </c>
      <c r="G715" s="163">
        <v>23</v>
      </c>
      <c r="H715" s="155">
        <v>19</v>
      </c>
      <c r="I715" s="250">
        <v>1</v>
      </c>
    </row>
    <row r="716" spans="2:9" x14ac:dyDescent="0.25">
      <c r="B716" s="86">
        <v>7</v>
      </c>
      <c r="C716" s="86">
        <v>8</v>
      </c>
      <c r="D716" s="49">
        <v>5</v>
      </c>
      <c r="E716" s="156">
        <v>10</v>
      </c>
      <c r="F716" s="179">
        <v>19</v>
      </c>
      <c r="G716" s="179">
        <v>23</v>
      </c>
      <c r="H716" s="157">
        <v>19</v>
      </c>
      <c r="I716" s="251">
        <v>1</v>
      </c>
    </row>
    <row r="717" spans="2:9" x14ac:dyDescent="0.25">
      <c r="B717" s="86">
        <v>7</v>
      </c>
      <c r="C717" s="85">
        <v>9</v>
      </c>
      <c r="D717" s="32">
        <v>1</v>
      </c>
      <c r="E717" s="152">
        <v>10</v>
      </c>
      <c r="F717" s="181">
        <v>19</v>
      </c>
      <c r="G717" s="181"/>
      <c r="H717" s="153"/>
      <c r="I717" s="249">
        <v>1</v>
      </c>
    </row>
    <row r="718" spans="2:9" x14ac:dyDescent="0.25">
      <c r="B718" s="86">
        <v>7</v>
      </c>
      <c r="C718" s="86">
        <v>9</v>
      </c>
      <c r="D718" s="49">
        <v>2</v>
      </c>
      <c r="E718" s="154">
        <v>10</v>
      </c>
      <c r="F718" s="163">
        <v>19</v>
      </c>
      <c r="G718" s="163">
        <v>18</v>
      </c>
      <c r="H718" s="155"/>
      <c r="I718" s="250">
        <v>1</v>
      </c>
    </row>
    <row r="719" spans="2:9" x14ac:dyDescent="0.25">
      <c r="B719" s="86">
        <v>7</v>
      </c>
      <c r="C719" s="86">
        <v>9</v>
      </c>
      <c r="D719" s="49">
        <v>3</v>
      </c>
      <c r="E719" s="154">
        <v>10</v>
      </c>
      <c r="F719" s="163">
        <v>19</v>
      </c>
      <c r="G719" s="163">
        <v>19</v>
      </c>
      <c r="H719" s="155">
        <v>18</v>
      </c>
      <c r="I719" s="250">
        <v>1</v>
      </c>
    </row>
    <row r="720" spans="2:9" x14ac:dyDescent="0.25">
      <c r="B720" s="86">
        <v>7</v>
      </c>
      <c r="C720" s="86">
        <v>9</v>
      </c>
      <c r="D720" s="49">
        <v>4</v>
      </c>
      <c r="E720" s="154">
        <v>10</v>
      </c>
      <c r="F720" s="163">
        <v>19</v>
      </c>
      <c r="G720" s="163">
        <v>23</v>
      </c>
      <c r="H720" s="155">
        <v>19</v>
      </c>
      <c r="I720" s="250">
        <v>1</v>
      </c>
    </row>
    <row r="721" spans="2:9" x14ac:dyDescent="0.25">
      <c r="B721" s="86">
        <v>7</v>
      </c>
      <c r="C721" s="87">
        <v>9</v>
      </c>
      <c r="D721" s="82">
        <v>5</v>
      </c>
      <c r="E721" s="156">
        <v>10</v>
      </c>
      <c r="F721" s="179">
        <v>19</v>
      </c>
      <c r="G721" s="179">
        <v>23</v>
      </c>
      <c r="H721" s="157">
        <v>19</v>
      </c>
      <c r="I721" s="251">
        <v>1</v>
      </c>
    </row>
    <row r="722" spans="2:9" x14ac:dyDescent="0.25">
      <c r="B722" s="86">
        <v>7</v>
      </c>
      <c r="C722" s="86">
        <v>10</v>
      </c>
      <c r="D722" s="49">
        <v>1</v>
      </c>
      <c r="E722" s="152">
        <v>10</v>
      </c>
      <c r="F722" s="181">
        <v>19</v>
      </c>
      <c r="G722" s="181"/>
      <c r="H722" s="153"/>
      <c r="I722" s="249">
        <v>1</v>
      </c>
    </row>
    <row r="723" spans="2:9" x14ac:dyDescent="0.25">
      <c r="B723" s="86">
        <v>7</v>
      </c>
      <c r="C723" s="86">
        <v>10</v>
      </c>
      <c r="D723" s="49">
        <v>2</v>
      </c>
      <c r="E723" s="154">
        <v>10</v>
      </c>
      <c r="F723" s="163">
        <v>19</v>
      </c>
      <c r="G723" s="163">
        <v>18</v>
      </c>
      <c r="H723" s="155"/>
      <c r="I723" s="250">
        <v>1</v>
      </c>
    </row>
    <row r="724" spans="2:9" x14ac:dyDescent="0.25">
      <c r="B724" s="86">
        <v>7</v>
      </c>
      <c r="C724" s="86">
        <v>10</v>
      </c>
      <c r="D724" s="49">
        <v>3</v>
      </c>
      <c r="E724" s="154">
        <v>10</v>
      </c>
      <c r="F724" s="163">
        <v>19</v>
      </c>
      <c r="G724" s="163">
        <v>19</v>
      </c>
      <c r="H724" s="155">
        <v>18</v>
      </c>
      <c r="I724" s="250">
        <v>1</v>
      </c>
    </row>
    <row r="725" spans="2:9" x14ac:dyDescent="0.25">
      <c r="B725" s="86">
        <v>7</v>
      </c>
      <c r="C725" s="86">
        <v>10</v>
      </c>
      <c r="D725" s="49">
        <v>4</v>
      </c>
      <c r="E725" s="154">
        <v>10</v>
      </c>
      <c r="F725" s="163">
        <v>19</v>
      </c>
      <c r="G725" s="163">
        <v>23</v>
      </c>
      <c r="H725" s="155">
        <v>19</v>
      </c>
      <c r="I725" s="250">
        <v>1</v>
      </c>
    </row>
    <row r="726" spans="2:9" x14ac:dyDescent="0.25">
      <c r="B726" s="87">
        <v>7</v>
      </c>
      <c r="C726" s="87">
        <v>10</v>
      </c>
      <c r="D726" s="82">
        <v>5</v>
      </c>
      <c r="E726" s="156">
        <v>10</v>
      </c>
      <c r="F726" s="179">
        <v>19</v>
      </c>
      <c r="G726" s="179">
        <v>23</v>
      </c>
      <c r="H726" s="157">
        <v>19</v>
      </c>
      <c r="I726" s="251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68"/>
    </row>
    <row r="3" spans="2:12" x14ac:dyDescent="0.25">
      <c r="B3" s="26"/>
      <c r="C3" s="28"/>
      <c r="D3" s="28"/>
      <c r="E3" s="28"/>
      <c r="F3" s="28"/>
      <c r="G3" s="28"/>
      <c r="H3" s="28"/>
      <c r="I3" s="28"/>
      <c r="J3" s="28"/>
      <c r="K3" s="28"/>
      <c r="L3" s="27"/>
    </row>
    <row r="4" spans="2:12" x14ac:dyDescent="0.25">
      <c r="B4" s="40"/>
      <c r="C4" s="100" t="s">
        <v>868</v>
      </c>
      <c r="D4" s="43"/>
      <c r="E4" s="43"/>
      <c r="F4" s="43"/>
      <c r="G4" s="43"/>
      <c r="H4" s="43"/>
      <c r="I4" s="43"/>
      <c r="J4" s="43"/>
      <c r="K4" s="367"/>
      <c r="L4" s="41"/>
    </row>
    <row r="5" spans="2:12" x14ac:dyDescent="0.25">
      <c r="B5" s="40"/>
      <c r="D5" s="43"/>
      <c r="E5" s="43"/>
      <c r="F5" s="43"/>
      <c r="G5" s="43"/>
      <c r="H5" s="43"/>
      <c r="I5" s="43"/>
      <c r="J5" s="43"/>
      <c r="K5" s="43"/>
      <c r="L5" s="41"/>
    </row>
    <row r="6" spans="2:12" x14ac:dyDescent="0.25">
      <c r="B6" s="40"/>
      <c r="C6" s="369" t="s">
        <v>537</v>
      </c>
      <c r="D6" s="43"/>
      <c r="E6" s="43"/>
      <c r="F6" s="43"/>
      <c r="G6" s="43"/>
      <c r="H6" s="43"/>
      <c r="I6" s="43"/>
      <c r="J6" s="43"/>
      <c r="K6" s="43"/>
      <c r="L6" s="41"/>
    </row>
    <row r="7" spans="2:12" x14ac:dyDescent="0.25">
      <c r="B7" s="40"/>
      <c r="C7" s="369"/>
      <c r="D7" s="43"/>
      <c r="E7" s="43"/>
      <c r="F7" s="43"/>
      <c r="G7" s="43"/>
      <c r="H7" s="43"/>
      <c r="I7" s="43"/>
      <c r="J7" s="43"/>
      <c r="K7" s="43"/>
      <c r="L7" s="41"/>
    </row>
    <row r="8" spans="2:12" x14ac:dyDescent="0.25">
      <c r="B8" s="40"/>
      <c r="C8" s="369" t="s">
        <v>572</v>
      </c>
      <c r="D8" s="43"/>
      <c r="E8" s="43"/>
      <c r="F8" s="43"/>
      <c r="G8" s="43"/>
      <c r="H8" s="43"/>
      <c r="I8" s="43"/>
      <c r="J8" s="43"/>
      <c r="K8" s="43"/>
      <c r="L8" s="41"/>
    </row>
    <row r="9" spans="2:12" x14ac:dyDescent="0.25">
      <c r="B9" s="40"/>
      <c r="C9" s="43"/>
      <c r="D9" s="43"/>
      <c r="E9" s="43"/>
      <c r="F9" s="43"/>
      <c r="G9" s="43"/>
      <c r="H9" s="43"/>
      <c r="I9" s="43"/>
      <c r="J9" s="43"/>
      <c r="K9" s="43"/>
      <c r="L9" s="41"/>
    </row>
    <row r="10" spans="2:12" x14ac:dyDescent="0.25">
      <c r="B10" s="40"/>
      <c r="C10" s="43" t="s">
        <v>538</v>
      </c>
      <c r="D10" s="43"/>
      <c r="E10" s="43"/>
      <c r="F10" s="43"/>
      <c r="G10" s="43"/>
      <c r="H10" s="43"/>
      <c r="I10" s="43"/>
      <c r="J10" s="43"/>
      <c r="K10" s="43"/>
      <c r="L10" s="41"/>
    </row>
    <row r="11" spans="2:12" x14ac:dyDescent="0.25">
      <c r="B11" s="40"/>
      <c r="C11" s="43" t="s">
        <v>539</v>
      </c>
      <c r="D11" s="43"/>
      <c r="E11" s="43"/>
      <c r="F11" s="43"/>
      <c r="G11" s="43"/>
      <c r="H11" s="43"/>
      <c r="I11" s="43"/>
      <c r="J11" s="43"/>
      <c r="K11" s="43"/>
      <c r="L11" s="41"/>
    </row>
    <row r="12" spans="2:12" x14ac:dyDescent="0.25">
      <c r="B12" s="40"/>
      <c r="C12" s="1" t="s">
        <v>540</v>
      </c>
      <c r="D12" s="43"/>
      <c r="E12" s="43"/>
      <c r="F12" s="43"/>
      <c r="G12" s="43"/>
      <c r="H12" s="43"/>
      <c r="I12" s="43"/>
      <c r="J12" s="43"/>
      <c r="K12" s="43"/>
      <c r="L12" s="41"/>
    </row>
    <row r="13" spans="2:12" x14ac:dyDescent="0.25">
      <c r="B13" s="40"/>
      <c r="C13" s="43"/>
      <c r="D13" s="43" t="s">
        <v>546</v>
      </c>
      <c r="E13" s="43"/>
      <c r="F13" s="43"/>
      <c r="G13" s="43"/>
      <c r="H13" s="43"/>
      <c r="I13" s="43"/>
      <c r="J13" s="43"/>
      <c r="K13" s="43"/>
      <c r="L13" s="41"/>
    </row>
    <row r="14" spans="2:12" x14ac:dyDescent="0.25">
      <c r="B14" s="40"/>
      <c r="C14" s="43"/>
      <c r="D14" s="43" t="s">
        <v>541</v>
      </c>
      <c r="E14" s="43"/>
      <c r="F14" s="43"/>
      <c r="G14" s="43"/>
      <c r="H14" s="43"/>
      <c r="I14" s="43"/>
      <c r="J14" s="43"/>
      <c r="K14" s="43"/>
      <c r="L14" s="41"/>
    </row>
    <row r="15" spans="2:12" x14ac:dyDescent="0.25">
      <c r="B15" s="40"/>
      <c r="C15" s="43"/>
      <c r="D15" s="43" t="s">
        <v>542</v>
      </c>
      <c r="E15" s="43"/>
      <c r="F15" s="43"/>
      <c r="G15" s="43"/>
      <c r="H15" s="43"/>
      <c r="I15" s="43"/>
      <c r="J15" s="43"/>
      <c r="K15" s="43"/>
      <c r="L15" s="41"/>
    </row>
    <row r="16" spans="2:12" x14ac:dyDescent="0.25">
      <c r="B16" s="40"/>
      <c r="C16" s="43"/>
      <c r="D16" s="43" t="s">
        <v>543</v>
      </c>
      <c r="E16" s="43"/>
      <c r="F16" s="43"/>
      <c r="G16" s="43"/>
      <c r="H16" s="43"/>
      <c r="I16" s="43"/>
      <c r="J16" s="43"/>
      <c r="K16" s="43"/>
      <c r="L16" s="41"/>
    </row>
    <row r="17" spans="2:12" x14ac:dyDescent="0.25">
      <c r="B17" s="40"/>
      <c r="D17" s="1" t="s">
        <v>545</v>
      </c>
      <c r="I17" s="43"/>
      <c r="J17" s="43"/>
      <c r="K17" s="43"/>
      <c r="L17" s="41"/>
    </row>
    <row r="18" spans="2:12" x14ac:dyDescent="0.25">
      <c r="B18" s="40"/>
      <c r="C18" s="43"/>
      <c r="D18" s="43" t="s">
        <v>544</v>
      </c>
      <c r="E18" s="43"/>
      <c r="F18" s="43"/>
      <c r="G18" s="43"/>
      <c r="H18" s="43"/>
      <c r="I18" s="43"/>
      <c r="J18" s="43"/>
      <c r="K18" s="43"/>
      <c r="L18" s="41"/>
    </row>
    <row r="19" spans="2:12" x14ac:dyDescent="0.25">
      <c r="B19" s="40"/>
      <c r="C19" s="43"/>
      <c r="D19" s="43" t="s">
        <v>550</v>
      </c>
      <c r="E19" s="43"/>
      <c r="F19" s="43"/>
      <c r="G19" s="43"/>
      <c r="H19" s="43"/>
      <c r="I19" s="43"/>
      <c r="J19" s="43"/>
      <c r="K19" s="43"/>
      <c r="L19" s="41"/>
    </row>
    <row r="20" spans="2:12" x14ac:dyDescent="0.25">
      <c r="B20" s="40"/>
      <c r="D20" s="43" t="s">
        <v>551</v>
      </c>
      <c r="E20" s="43"/>
      <c r="F20" s="43"/>
      <c r="G20" s="43"/>
      <c r="H20" s="43"/>
      <c r="I20" s="43"/>
      <c r="J20" s="43"/>
      <c r="K20" s="43"/>
      <c r="L20" s="41"/>
    </row>
    <row r="21" spans="2:12" x14ac:dyDescent="0.25">
      <c r="B21" s="40"/>
      <c r="C21" s="43" t="s">
        <v>833</v>
      </c>
      <c r="D21" s="43"/>
      <c r="E21" s="43"/>
      <c r="F21" s="43"/>
      <c r="G21" s="43"/>
      <c r="H21" s="43"/>
      <c r="I21" s="43"/>
      <c r="J21" s="43"/>
      <c r="K21" s="43"/>
      <c r="L21" s="41"/>
    </row>
    <row r="22" spans="2:12" x14ac:dyDescent="0.25">
      <c r="B22" s="40"/>
      <c r="C22" s="43" t="s">
        <v>553</v>
      </c>
      <c r="D22" s="43"/>
      <c r="E22" s="43"/>
      <c r="F22" s="43"/>
      <c r="G22" s="43"/>
      <c r="H22" s="43"/>
      <c r="I22" s="43"/>
      <c r="J22" s="43"/>
      <c r="K22" s="43"/>
      <c r="L22" s="41"/>
    </row>
    <row r="23" spans="2:12" x14ac:dyDescent="0.25">
      <c r="B23" s="40"/>
      <c r="C23" s="1" t="s">
        <v>552</v>
      </c>
      <c r="D23" s="43"/>
      <c r="E23" s="43"/>
      <c r="F23" s="43"/>
      <c r="G23" s="43"/>
      <c r="H23" s="43"/>
      <c r="I23" s="43"/>
      <c r="J23" s="43"/>
      <c r="K23" s="43"/>
      <c r="L23" s="41"/>
    </row>
    <row r="24" spans="2:12" x14ac:dyDescent="0.25">
      <c r="B24" s="40"/>
      <c r="C24" s="43"/>
      <c r="D24" s="43" t="s">
        <v>556</v>
      </c>
      <c r="E24" s="43"/>
      <c r="F24" s="43"/>
      <c r="G24" s="43"/>
      <c r="H24" s="43"/>
      <c r="I24" s="43"/>
      <c r="J24" s="43"/>
      <c r="K24" s="43"/>
      <c r="L24" s="41"/>
    </row>
    <row r="25" spans="2:12" x14ac:dyDescent="0.25">
      <c r="B25" s="40"/>
      <c r="D25" s="1" t="s">
        <v>559</v>
      </c>
      <c r="H25" s="43"/>
      <c r="I25" s="43"/>
      <c r="J25" s="43"/>
      <c r="K25" s="43"/>
      <c r="L25" s="41"/>
    </row>
    <row r="26" spans="2:12" x14ac:dyDescent="0.25">
      <c r="B26" s="40"/>
      <c r="D26" s="43" t="s">
        <v>557</v>
      </c>
      <c r="H26" s="43"/>
      <c r="I26" s="43"/>
      <c r="J26" s="43"/>
      <c r="K26" s="43"/>
      <c r="L26" s="41"/>
    </row>
    <row r="27" spans="2:12" x14ac:dyDescent="0.25">
      <c r="B27" s="40"/>
      <c r="D27" s="1" t="s">
        <v>558</v>
      </c>
      <c r="H27" s="43"/>
      <c r="I27" s="43"/>
      <c r="J27" s="43"/>
      <c r="K27" s="43"/>
      <c r="L27" s="41"/>
    </row>
    <row r="28" spans="2:12" x14ac:dyDescent="0.25">
      <c r="B28" s="40"/>
      <c r="C28" s="1" t="s">
        <v>560</v>
      </c>
      <c r="E28" s="43"/>
      <c r="F28" s="43"/>
      <c r="G28" s="43"/>
      <c r="H28" s="43"/>
      <c r="I28" s="43"/>
      <c r="J28" s="43"/>
      <c r="K28" s="43"/>
      <c r="L28" s="41"/>
    </row>
    <row r="29" spans="2:12" x14ac:dyDescent="0.25">
      <c r="B29" s="40"/>
      <c r="C29" s="1" t="s">
        <v>561</v>
      </c>
      <c r="E29" s="43"/>
      <c r="F29" s="43"/>
      <c r="G29" s="43"/>
      <c r="H29" s="43"/>
      <c r="I29" s="43"/>
      <c r="J29" s="43"/>
      <c r="K29" s="43"/>
      <c r="L29" s="41"/>
    </row>
    <row r="30" spans="2:12" x14ac:dyDescent="0.25">
      <c r="B30" s="40"/>
      <c r="C30" s="1" t="s">
        <v>562</v>
      </c>
      <c r="E30" s="43"/>
      <c r="F30" s="43"/>
      <c r="G30" s="43"/>
      <c r="H30" s="43"/>
      <c r="I30" s="43"/>
      <c r="J30" s="43"/>
      <c r="K30" s="43"/>
      <c r="L30" s="41"/>
    </row>
    <row r="31" spans="2:12" x14ac:dyDescent="0.25">
      <c r="B31" s="40"/>
      <c r="C31" s="1" t="s">
        <v>830</v>
      </c>
      <c r="E31" s="43"/>
      <c r="F31" s="43"/>
      <c r="G31" s="43"/>
      <c r="H31" s="43"/>
      <c r="I31" s="43"/>
      <c r="J31" s="43"/>
      <c r="K31" s="43"/>
      <c r="L31" s="41"/>
    </row>
    <row r="32" spans="2:12" x14ac:dyDescent="0.25">
      <c r="B32" s="40"/>
      <c r="C32" s="1" t="s">
        <v>563</v>
      </c>
      <c r="E32" s="43"/>
      <c r="F32" s="43"/>
      <c r="G32" s="43"/>
      <c r="H32" s="43"/>
      <c r="I32" s="43"/>
      <c r="J32" s="43"/>
      <c r="K32" s="43"/>
      <c r="L32" s="41"/>
    </row>
    <row r="33" spans="2:12" x14ac:dyDescent="0.25">
      <c r="B33" s="40"/>
      <c r="C33" s="1" t="s">
        <v>566</v>
      </c>
      <c r="E33" s="43"/>
      <c r="F33" s="43"/>
      <c r="G33" s="43"/>
      <c r="H33" s="43"/>
      <c r="I33" s="43"/>
      <c r="J33" s="43"/>
      <c r="K33" s="43"/>
      <c r="L33" s="41"/>
    </row>
    <row r="34" spans="2:12" x14ac:dyDescent="0.25">
      <c r="B34" s="40"/>
      <c r="C34" s="1" t="s">
        <v>831</v>
      </c>
      <c r="E34" s="43"/>
      <c r="F34" s="43"/>
      <c r="G34" s="43"/>
      <c r="H34" s="43"/>
      <c r="I34" s="43"/>
      <c r="J34" s="43"/>
      <c r="K34" s="43"/>
      <c r="L34" s="41"/>
    </row>
    <row r="35" spans="2:12" x14ac:dyDescent="0.25">
      <c r="B35" s="40"/>
      <c r="C35" s="1" t="s">
        <v>832</v>
      </c>
      <c r="E35" s="43"/>
      <c r="F35" s="43"/>
      <c r="G35" s="43"/>
      <c r="H35" s="43"/>
      <c r="I35" s="43"/>
      <c r="J35" s="43"/>
      <c r="K35" s="43"/>
      <c r="L35" s="41"/>
    </row>
    <row r="36" spans="2:12" x14ac:dyDescent="0.25">
      <c r="B36" s="40"/>
      <c r="C36" s="1" t="s">
        <v>567</v>
      </c>
      <c r="E36" s="43"/>
      <c r="F36" s="43"/>
      <c r="G36" s="43"/>
      <c r="H36" s="43"/>
      <c r="I36" s="43"/>
      <c r="J36" s="43"/>
      <c r="K36" s="43"/>
      <c r="L36" s="41"/>
    </row>
    <row r="37" spans="2:12" x14ac:dyDescent="0.25">
      <c r="B37" s="40"/>
      <c r="C37" s="1" t="s">
        <v>564</v>
      </c>
      <c r="E37" s="43"/>
      <c r="F37" s="43"/>
      <c r="G37" s="43"/>
      <c r="H37" s="43"/>
      <c r="I37" s="43"/>
      <c r="J37" s="43"/>
      <c r="K37" s="43"/>
      <c r="L37" s="41"/>
    </row>
    <row r="38" spans="2:12" x14ac:dyDescent="0.25">
      <c r="B38" s="40"/>
      <c r="C38" s="43" t="s">
        <v>565</v>
      </c>
      <c r="D38" s="43"/>
      <c r="E38" s="43"/>
      <c r="F38" s="43"/>
      <c r="G38" s="43"/>
      <c r="H38" s="43"/>
      <c r="I38" s="43"/>
      <c r="J38" s="43"/>
      <c r="K38" s="43"/>
      <c r="L38" s="41"/>
    </row>
    <row r="39" spans="2:12" x14ac:dyDescent="0.25">
      <c r="B39" s="40"/>
      <c r="C39" s="43" t="s">
        <v>569</v>
      </c>
      <c r="D39" s="43"/>
      <c r="E39" s="43"/>
      <c r="F39" s="43"/>
      <c r="G39" s="43"/>
      <c r="H39" s="43"/>
      <c r="I39" s="43"/>
      <c r="J39" s="43"/>
      <c r="K39" s="43"/>
      <c r="L39" s="41"/>
    </row>
    <row r="40" spans="2:12" x14ac:dyDescent="0.25">
      <c r="B40" s="40"/>
      <c r="C40" s="43" t="s">
        <v>568</v>
      </c>
      <c r="D40" s="43"/>
      <c r="E40" s="43"/>
      <c r="F40" s="43"/>
      <c r="G40" s="43"/>
      <c r="H40" s="43"/>
      <c r="I40" s="43"/>
      <c r="J40" s="43"/>
      <c r="K40" s="43"/>
      <c r="L40" s="41"/>
    </row>
    <row r="41" spans="2:12" x14ac:dyDescent="0.25">
      <c r="B41" s="40"/>
      <c r="C41" s="43" t="s">
        <v>570</v>
      </c>
      <c r="D41" s="43"/>
      <c r="E41" s="43"/>
      <c r="F41" s="43"/>
      <c r="G41" s="43"/>
      <c r="H41" s="43"/>
      <c r="I41" s="43"/>
      <c r="J41" s="43"/>
      <c r="K41" s="43"/>
      <c r="L41" s="41"/>
    </row>
    <row r="42" spans="2:12" x14ac:dyDescent="0.25">
      <c r="B42" s="40"/>
      <c r="C42" s="43" t="s">
        <v>571</v>
      </c>
      <c r="D42" s="43"/>
      <c r="E42" s="43"/>
      <c r="F42" s="43"/>
      <c r="G42" s="43"/>
      <c r="H42" s="43"/>
      <c r="I42" s="43"/>
      <c r="J42" s="43"/>
      <c r="K42" s="43"/>
      <c r="L42" s="41"/>
    </row>
    <row r="43" spans="2:12" x14ac:dyDescent="0.25">
      <c r="B43" s="40"/>
      <c r="C43" s="43"/>
      <c r="D43" s="43"/>
      <c r="E43" s="43"/>
      <c r="F43" s="43"/>
      <c r="G43" s="43"/>
      <c r="H43" s="43"/>
      <c r="I43" s="43"/>
      <c r="J43" s="43"/>
      <c r="K43" s="43"/>
      <c r="L43" s="41"/>
    </row>
    <row r="44" spans="2:12" x14ac:dyDescent="0.25">
      <c r="B44" s="40"/>
      <c r="C44" s="369" t="s">
        <v>573</v>
      </c>
      <c r="D44" s="43"/>
      <c r="E44" s="43"/>
      <c r="F44" s="43"/>
      <c r="G44" s="43"/>
      <c r="H44" s="43"/>
      <c r="I44" s="43"/>
      <c r="J44" s="43"/>
      <c r="K44" s="43"/>
      <c r="L44" s="41"/>
    </row>
    <row r="45" spans="2:12" x14ac:dyDescent="0.25">
      <c r="B45" s="40"/>
      <c r="C45" s="43"/>
      <c r="D45" s="43"/>
      <c r="E45" s="43"/>
      <c r="F45" s="43"/>
      <c r="G45" s="43"/>
      <c r="H45" s="43"/>
      <c r="I45" s="43"/>
      <c r="J45" s="43"/>
      <c r="K45" s="43"/>
      <c r="L45" s="41"/>
    </row>
    <row r="46" spans="2:12" x14ac:dyDescent="0.25">
      <c r="B46" s="40"/>
      <c r="C46" s="43" t="s">
        <v>577</v>
      </c>
      <c r="D46" s="43"/>
      <c r="E46" s="43"/>
      <c r="F46" s="43"/>
      <c r="G46" s="43"/>
      <c r="H46" s="43"/>
      <c r="I46" s="43"/>
      <c r="J46" s="43"/>
      <c r="K46" s="43"/>
      <c r="L46" s="41"/>
    </row>
    <row r="47" spans="2:12" x14ac:dyDescent="0.25">
      <c r="B47" s="40"/>
      <c r="C47" s="43" t="s">
        <v>575</v>
      </c>
      <c r="D47" s="43"/>
      <c r="E47" s="43"/>
      <c r="F47" s="43"/>
      <c r="G47" s="43"/>
      <c r="H47" s="43"/>
      <c r="I47" s="43"/>
      <c r="J47" s="43"/>
      <c r="K47" s="43"/>
      <c r="L47" s="41"/>
    </row>
    <row r="48" spans="2:12" x14ac:dyDescent="0.25">
      <c r="B48" s="40"/>
      <c r="C48" s="43"/>
      <c r="D48" s="43" t="s">
        <v>582</v>
      </c>
      <c r="E48" s="43"/>
      <c r="F48" s="43"/>
      <c r="G48" s="43"/>
      <c r="H48" s="43"/>
      <c r="I48" s="43"/>
      <c r="J48" s="43"/>
      <c r="K48" s="43"/>
      <c r="L48" s="41"/>
    </row>
    <row r="49" spans="2:12" x14ac:dyDescent="0.25">
      <c r="B49" s="40"/>
      <c r="C49" s="43"/>
      <c r="D49" s="43" t="s">
        <v>583</v>
      </c>
      <c r="E49" s="43"/>
      <c r="F49" s="43"/>
      <c r="G49" s="43"/>
      <c r="H49" s="43"/>
      <c r="I49" s="43"/>
      <c r="J49" s="43"/>
      <c r="K49" s="43"/>
      <c r="L49" s="41"/>
    </row>
    <row r="50" spans="2:12" x14ac:dyDescent="0.25">
      <c r="B50" s="40"/>
      <c r="C50" s="43"/>
      <c r="D50" s="43" t="s">
        <v>576</v>
      </c>
      <c r="E50" s="43"/>
      <c r="F50" s="43"/>
      <c r="G50" s="43"/>
      <c r="H50" s="43"/>
      <c r="I50" s="43"/>
      <c r="J50" s="43"/>
      <c r="K50" s="43"/>
      <c r="L50" s="41"/>
    </row>
    <row r="51" spans="2:12" x14ac:dyDescent="0.25">
      <c r="B51" s="40"/>
      <c r="C51" s="43"/>
      <c r="D51" s="43" t="s">
        <v>584</v>
      </c>
      <c r="E51" s="43"/>
      <c r="F51" s="43"/>
      <c r="G51" s="43"/>
      <c r="H51" s="43"/>
      <c r="I51" s="43"/>
      <c r="J51" s="43"/>
      <c r="K51" s="43"/>
      <c r="L51" s="41"/>
    </row>
    <row r="52" spans="2:12" x14ac:dyDescent="0.25">
      <c r="B52" s="40"/>
      <c r="C52" s="43"/>
      <c r="D52" s="43" t="s">
        <v>652</v>
      </c>
      <c r="E52" s="43"/>
      <c r="F52" s="43"/>
      <c r="G52" s="43"/>
      <c r="H52" s="43"/>
      <c r="I52" s="43"/>
      <c r="J52" s="43"/>
      <c r="K52" s="43"/>
      <c r="L52" s="41"/>
    </row>
    <row r="53" spans="2:12" x14ac:dyDescent="0.25">
      <c r="B53" s="40"/>
      <c r="C53" s="43"/>
      <c r="D53" s="43"/>
      <c r="E53" s="43"/>
      <c r="F53" s="43"/>
      <c r="G53" s="43"/>
      <c r="H53" s="43"/>
      <c r="I53" s="43"/>
      <c r="J53" s="43"/>
      <c r="K53" s="43"/>
      <c r="L53" s="41"/>
    </row>
    <row r="54" spans="2:12" x14ac:dyDescent="0.25">
      <c r="B54" s="40"/>
      <c r="C54" s="43" t="s">
        <v>653</v>
      </c>
      <c r="D54" s="43"/>
      <c r="E54" s="43"/>
      <c r="F54" s="43"/>
      <c r="G54" s="43"/>
      <c r="H54" s="43"/>
      <c r="I54" s="43"/>
      <c r="J54" s="43"/>
      <c r="K54" s="43"/>
      <c r="L54" s="41"/>
    </row>
    <row r="55" spans="2:12" x14ac:dyDescent="0.25">
      <c r="B55" s="40"/>
      <c r="C55" s="43"/>
      <c r="D55" s="43"/>
      <c r="E55" s="43"/>
      <c r="F55" s="43"/>
      <c r="G55" s="43"/>
      <c r="H55" s="43"/>
      <c r="I55" s="43"/>
      <c r="J55" s="43"/>
      <c r="K55" s="43"/>
      <c r="L55" s="41"/>
    </row>
    <row r="56" spans="2:12" x14ac:dyDescent="0.25">
      <c r="B56" s="40"/>
      <c r="C56" s="43"/>
      <c r="D56" s="43" t="s">
        <v>484</v>
      </c>
      <c r="E56" s="43"/>
      <c r="F56" s="43"/>
      <c r="G56" s="43"/>
      <c r="H56" s="43"/>
      <c r="I56" s="43"/>
      <c r="J56" s="43"/>
      <c r="K56" s="43"/>
      <c r="L56" s="41"/>
    </row>
    <row r="57" spans="2:12" x14ac:dyDescent="0.25">
      <c r="B57" s="40"/>
      <c r="C57" s="43"/>
      <c r="D57" s="43" t="s">
        <v>480</v>
      </c>
      <c r="E57" s="43"/>
      <c r="F57" s="43"/>
      <c r="G57" s="43"/>
      <c r="H57" s="43"/>
      <c r="I57" s="43"/>
      <c r="J57" s="43"/>
      <c r="K57" s="43"/>
      <c r="L57" s="41"/>
    </row>
    <row r="58" spans="2:12" x14ac:dyDescent="0.25">
      <c r="B58" s="40"/>
      <c r="C58" s="43"/>
      <c r="D58" s="43" t="s">
        <v>478</v>
      </c>
      <c r="E58" s="43"/>
      <c r="F58" s="43"/>
      <c r="G58" s="43"/>
      <c r="H58" s="43"/>
      <c r="I58" s="43"/>
      <c r="J58" s="43"/>
      <c r="K58" s="43"/>
      <c r="L58" s="41"/>
    </row>
    <row r="59" spans="2:12" x14ac:dyDescent="0.25">
      <c r="B59" s="40"/>
      <c r="C59" s="43"/>
      <c r="D59" s="43" t="s">
        <v>479</v>
      </c>
      <c r="E59" s="43"/>
      <c r="F59" s="43"/>
      <c r="G59" s="43"/>
      <c r="H59" s="43"/>
      <c r="I59" s="43"/>
      <c r="J59" s="43"/>
      <c r="K59" s="43"/>
      <c r="L59" s="41"/>
    </row>
    <row r="60" spans="2:12" x14ac:dyDescent="0.25">
      <c r="B60" s="40"/>
      <c r="C60" s="43"/>
      <c r="D60" s="43" t="s">
        <v>481</v>
      </c>
      <c r="E60" s="43"/>
      <c r="F60" s="43"/>
      <c r="G60" s="43"/>
      <c r="H60" s="43"/>
      <c r="I60" s="43"/>
      <c r="J60" s="43"/>
      <c r="K60" s="43"/>
      <c r="L60" s="41"/>
    </row>
    <row r="61" spans="2:12" x14ac:dyDescent="0.25">
      <c r="B61" s="40"/>
      <c r="C61" s="43"/>
      <c r="D61" s="43" t="s">
        <v>482</v>
      </c>
      <c r="E61" s="43"/>
      <c r="F61" s="43"/>
      <c r="G61" s="43"/>
      <c r="H61" s="43"/>
      <c r="I61" s="43"/>
      <c r="J61" s="43"/>
      <c r="K61" s="43"/>
      <c r="L61" s="41"/>
    </row>
    <row r="62" spans="2:12" x14ac:dyDescent="0.25">
      <c r="B62" s="40"/>
      <c r="C62" s="43"/>
      <c r="D62" s="43" t="s">
        <v>483</v>
      </c>
      <c r="E62" s="43"/>
      <c r="F62" s="43"/>
      <c r="G62" s="43"/>
      <c r="H62" s="43"/>
      <c r="I62" s="43"/>
      <c r="J62" s="43"/>
      <c r="K62" s="43"/>
      <c r="L62" s="41"/>
    </row>
    <row r="63" spans="2:12" x14ac:dyDescent="0.25">
      <c r="B63" s="40"/>
      <c r="C63" s="43"/>
      <c r="D63" s="43"/>
      <c r="E63" s="43"/>
      <c r="F63" s="43"/>
      <c r="G63" s="43"/>
      <c r="H63" s="43"/>
      <c r="I63" s="43"/>
      <c r="J63" s="43"/>
      <c r="K63" s="43"/>
      <c r="L63" s="41"/>
    </row>
    <row r="64" spans="2:12" x14ac:dyDescent="0.25">
      <c r="B64" s="40"/>
      <c r="C64" s="43" t="s">
        <v>578</v>
      </c>
      <c r="D64" s="43"/>
      <c r="E64" s="43"/>
      <c r="F64" s="43"/>
      <c r="G64" s="43"/>
      <c r="H64" s="43"/>
      <c r="I64" s="43"/>
      <c r="J64" s="43"/>
      <c r="K64" s="43"/>
      <c r="L64" s="41"/>
    </row>
    <row r="65" spans="2:12" x14ac:dyDescent="0.25">
      <c r="B65" s="40"/>
      <c r="C65" s="43" t="s">
        <v>579</v>
      </c>
      <c r="D65" s="43"/>
      <c r="E65" s="43"/>
      <c r="F65" s="43"/>
      <c r="G65" s="43"/>
      <c r="H65" s="43"/>
      <c r="I65" s="43"/>
      <c r="J65" s="43"/>
      <c r="K65" s="43"/>
      <c r="L65" s="41"/>
    </row>
    <row r="66" spans="2:12" x14ac:dyDescent="0.25">
      <c r="B66" s="40"/>
      <c r="C66" s="43" t="s">
        <v>581</v>
      </c>
      <c r="D66" s="43"/>
      <c r="E66" s="43"/>
      <c r="F66" s="43"/>
      <c r="G66" s="43"/>
      <c r="H66" s="43"/>
      <c r="I66" s="43"/>
      <c r="J66" s="43"/>
      <c r="K66" s="43"/>
      <c r="L66" s="41"/>
    </row>
    <row r="67" spans="2:12" x14ac:dyDescent="0.25">
      <c r="B67" s="40"/>
      <c r="C67" s="43" t="s">
        <v>580</v>
      </c>
      <c r="D67" s="43"/>
      <c r="E67" s="43"/>
      <c r="F67" s="43"/>
      <c r="G67" s="43"/>
      <c r="H67" s="43"/>
      <c r="I67" s="43"/>
      <c r="J67" s="43"/>
      <c r="K67" s="43"/>
      <c r="L67" s="41"/>
    </row>
    <row r="68" spans="2:12" x14ac:dyDescent="0.25">
      <c r="B68" s="40"/>
      <c r="D68" s="43"/>
      <c r="E68" s="43"/>
      <c r="F68" s="43"/>
      <c r="G68" s="43"/>
      <c r="H68" s="43"/>
      <c r="I68" s="43"/>
      <c r="J68" s="43"/>
      <c r="K68" s="43"/>
      <c r="L68" s="41"/>
    </row>
    <row r="69" spans="2:12" x14ac:dyDescent="0.25">
      <c r="B69" s="40"/>
      <c r="C69" s="43" t="s">
        <v>585</v>
      </c>
      <c r="D69" s="43"/>
      <c r="E69" s="43"/>
      <c r="F69" s="43"/>
      <c r="G69" s="43"/>
      <c r="H69" s="43"/>
      <c r="I69" s="43"/>
      <c r="J69" s="43"/>
      <c r="K69" s="43"/>
      <c r="L69" s="41"/>
    </row>
    <row r="70" spans="2:12" x14ac:dyDescent="0.25">
      <c r="B70" s="40"/>
      <c r="C70" s="43"/>
      <c r="D70" s="43"/>
      <c r="E70" s="43"/>
      <c r="F70" s="43"/>
      <c r="G70" s="43"/>
      <c r="H70" s="43"/>
      <c r="I70" s="43"/>
      <c r="J70" s="43"/>
      <c r="K70" s="43"/>
      <c r="L70" s="41"/>
    </row>
    <row r="71" spans="2:12" x14ac:dyDescent="0.25">
      <c r="B71" s="40"/>
      <c r="C71" s="369" t="s">
        <v>574</v>
      </c>
      <c r="D71" s="43"/>
      <c r="E71" s="43"/>
      <c r="F71" s="43"/>
      <c r="G71" s="43"/>
      <c r="H71" s="43"/>
      <c r="I71" s="43"/>
      <c r="J71" s="43"/>
      <c r="K71" s="43"/>
      <c r="L71" s="41"/>
    </row>
    <row r="72" spans="2:12" x14ac:dyDescent="0.25">
      <c r="B72" s="40"/>
      <c r="C72" s="43"/>
      <c r="D72" s="43"/>
      <c r="E72" s="43"/>
      <c r="F72" s="43"/>
      <c r="G72" s="43"/>
      <c r="H72" s="43"/>
      <c r="I72" s="43"/>
      <c r="J72" s="43"/>
      <c r="K72" s="43"/>
      <c r="L72" s="41"/>
    </row>
    <row r="73" spans="2:12" x14ac:dyDescent="0.25">
      <c r="B73" s="40"/>
      <c r="C73" s="43" t="s">
        <v>586</v>
      </c>
      <c r="D73" s="43"/>
      <c r="E73" s="43"/>
      <c r="F73" s="43"/>
      <c r="G73" s="43"/>
      <c r="H73" s="43"/>
      <c r="I73" s="43"/>
      <c r="J73" s="43"/>
      <c r="K73" s="43"/>
      <c r="L73" s="41"/>
    </row>
    <row r="74" spans="2:12" x14ac:dyDescent="0.25">
      <c r="B74" s="40"/>
      <c r="C74" s="43" t="s">
        <v>587</v>
      </c>
      <c r="D74" s="43"/>
      <c r="E74" s="43"/>
      <c r="F74" s="43"/>
      <c r="G74" s="43"/>
      <c r="H74" s="43"/>
      <c r="I74" s="43"/>
      <c r="J74" s="43"/>
      <c r="K74" s="43"/>
      <c r="L74" s="41"/>
    </row>
    <row r="75" spans="2:12" x14ac:dyDescent="0.25">
      <c r="B75" s="40"/>
      <c r="C75" s="43" t="s">
        <v>588</v>
      </c>
      <c r="D75" s="43"/>
      <c r="E75" s="43"/>
      <c r="F75" s="43"/>
      <c r="G75" s="43"/>
      <c r="H75" s="43"/>
      <c r="I75" s="43"/>
      <c r="J75" s="43"/>
      <c r="K75" s="43"/>
      <c r="L75" s="41"/>
    </row>
    <row r="76" spans="2:12" x14ac:dyDescent="0.25">
      <c r="B76" s="40"/>
      <c r="C76" s="43" t="s">
        <v>589</v>
      </c>
      <c r="D76" s="43"/>
      <c r="E76" s="43"/>
      <c r="F76" s="43"/>
      <c r="G76" s="43"/>
      <c r="H76" s="43"/>
      <c r="I76" s="43"/>
      <c r="J76" s="43"/>
      <c r="K76" s="43"/>
      <c r="L76" s="41"/>
    </row>
    <row r="77" spans="2:12" x14ac:dyDescent="0.25">
      <c r="B77" s="40"/>
      <c r="C77" s="43"/>
      <c r="D77" s="43"/>
      <c r="E77" s="43"/>
      <c r="F77" s="43"/>
      <c r="G77" s="43"/>
      <c r="H77" s="43"/>
      <c r="I77" s="43"/>
      <c r="J77" s="43"/>
      <c r="K77" s="43"/>
      <c r="L77" s="41"/>
    </row>
    <row r="78" spans="2:12" x14ac:dyDescent="0.25">
      <c r="B78" s="40"/>
      <c r="C78" s="43" t="s">
        <v>592</v>
      </c>
      <c r="D78" s="43"/>
      <c r="E78" s="43"/>
      <c r="F78" s="43"/>
      <c r="G78" s="43"/>
      <c r="H78" s="43"/>
      <c r="I78" s="43"/>
      <c r="J78" s="43"/>
      <c r="K78" s="43"/>
      <c r="L78" s="41"/>
    </row>
    <row r="79" spans="2:12" x14ac:dyDescent="0.25">
      <c r="B79" s="40"/>
      <c r="C79" s="43" t="s">
        <v>593</v>
      </c>
      <c r="D79" s="43"/>
      <c r="E79" s="43"/>
      <c r="F79" s="43"/>
      <c r="G79" s="43"/>
      <c r="H79" s="43"/>
      <c r="I79" s="43"/>
      <c r="J79" s="43"/>
      <c r="K79" s="43"/>
      <c r="L79" s="41"/>
    </row>
    <row r="80" spans="2:12" x14ac:dyDescent="0.25">
      <c r="B80" s="40"/>
      <c r="C80" s="43"/>
      <c r="D80" s="43"/>
      <c r="E80" s="43"/>
      <c r="F80" s="43"/>
      <c r="G80" s="43"/>
      <c r="H80" s="43"/>
      <c r="I80" s="43"/>
      <c r="J80" s="43"/>
      <c r="K80" s="43"/>
      <c r="L80" s="41"/>
    </row>
    <row r="81" spans="2:12" x14ac:dyDescent="0.25">
      <c r="B81" s="40"/>
      <c r="C81" s="43" t="s">
        <v>590</v>
      </c>
      <c r="D81" s="43"/>
      <c r="E81" s="43"/>
      <c r="F81" s="43"/>
      <c r="G81" s="43"/>
      <c r="H81" s="43"/>
      <c r="I81" s="43"/>
      <c r="J81" s="43"/>
      <c r="K81" s="43"/>
      <c r="L81" s="41"/>
    </row>
    <row r="82" spans="2:12" x14ac:dyDescent="0.25">
      <c r="B82" s="40"/>
      <c r="C82" s="43"/>
      <c r="D82" s="43"/>
      <c r="E82" s="43"/>
      <c r="F82" s="43"/>
      <c r="G82" s="43"/>
      <c r="H82" s="43"/>
      <c r="I82" s="43"/>
      <c r="J82" s="43"/>
      <c r="K82" s="43"/>
      <c r="L82" s="41"/>
    </row>
    <row r="83" spans="2:12" x14ac:dyDescent="0.25">
      <c r="B83" s="40"/>
      <c r="C83" s="369" t="s">
        <v>591</v>
      </c>
      <c r="D83" s="43"/>
      <c r="E83" s="43"/>
      <c r="F83" s="43"/>
      <c r="G83" s="43"/>
      <c r="H83" s="43"/>
      <c r="I83" s="43"/>
      <c r="J83" s="43"/>
      <c r="K83" s="43"/>
      <c r="L83" s="41"/>
    </row>
    <row r="84" spans="2:12" x14ac:dyDescent="0.25">
      <c r="B84" s="40"/>
      <c r="C84" s="43"/>
      <c r="D84" s="43"/>
      <c r="E84" s="43"/>
      <c r="F84" s="43"/>
      <c r="G84" s="43"/>
      <c r="H84" s="43"/>
      <c r="I84" s="43"/>
      <c r="J84" s="43"/>
      <c r="K84" s="43"/>
      <c r="L84" s="41"/>
    </row>
    <row r="85" spans="2:12" x14ac:dyDescent="0.25">
      <c r="B85" s="40"/>
      <c r="C85" s="43" t="s">
        <v>594</v>
      </c>
      <c r="D85" s="43"/>
      <c r="E85" s="43"/>
      <c r="F85" s="43"/>
      <c r="G85" s="43"/>
      <c r="H85" s="43"/>
      <c r="I85" s="43"/>
      <c r="J85" s="43"/>
      <c r="K85" s="43"/>
      <c r="L85" s="41"/>
    </row>
    <row r="86" spans="2:12" x14ac:dyDescent="0.25">
      <c r="B86" s="40"/>
      <c r="C86" s="43"/>
      <c r="D86" s="43" t="s">
        <v>596</v>
      </c>
      <c r="E86" s="43"/>
      <c r="F86" s="43"/>
      <c r="G86" s="43"/>
      <c r="H86" s="43"/>
      <c r="I86" s="43"/>
      <c r="J86" s="43"/>
      <c r="K86" s="43"/>
      <c r="L86" s="41"/>
    </row>
    <row r="87" spans="2:12" x14ac:dyDescent="0.25">
      <c r="B87" s="40"/>
      <c r="C87" s="43"/>
      <c r="D87" s="43" t="s">
        <v>597</v>
      </c>
      <c r="E87" s="43"/>
      <c r="F87" s="43"/>
      <c r="G87" s="43"/>
      <c r="H87" s="43"/>
      <c r="I87" s="43"/>
      <c r="J87" s="43"/>
      <c r="K87" s="43"/>
      <c r="L87" s="41"/>
    </row>
    <row r="88" spans="2:12" x14ac:dyDescent="0.25">
      <c r="B88" s="40"/>
      <c r="C88" s="43"/>
      <c r="D88" s="43" t="s">
        <v>598</v>
      </c>
      <c r="E88" s="43"/>
      <c r="F88" s="43"/>
      <c r="G88" s="43"/>
      <c r="H88" s="43"/>
      <c r="I88" s="43"/>
      <c r="J88" s="43"/>
      <c r="K88" s="43"/>
      <c r="L88" s="41"/>
    </row>
    <row r="89" spans="2:12" x14ac:dyDescent="0.25">
      <c r="B89" s="40"/>
      <c r="C89" s="43"/>
      <c r="D89" s="43" t="s">
        <v>595</v>
      </c>
      <c r="E89" s="43"/>
      <c r="F89" s="43"/>
      <c r="G89" s="43"/>
      <c r="H89" s="43"/>
      <c r="I89" s="43"/>
      <c r="J89" s="43"/>
      <c r="K89" s="43"/>
      <c r="L89" s="41"/>
    </row>
    <row r="90" spans="2:12" x14ac:dyDescent="0.25">
      <c r="B90" s="40"/>
      <c r="C90" s="369"/>
      <c r="D90" s="43" t="s">
        <v>599</v>
      </c>
      <c r="E90" s="43"/>
      <c r="F90" s="43"/>
      <c r="G90" s="43"/>
      <c r="H90" s="43"/>
      <c r="I90" s="43"/>
      <c r="J90" s="43"/>
      <c r="K90" s="43"/>
      <c r="L90" s="41"/>
    </row>
    <row r="91" spans="2:12" x14ac:dyDescent="0.25">
      <c r="B91" s="40"/>
      <c r="C91" s="369"/>
      <c r="D91" s="43" t="s">
        <v>600</v>
      </c>
      <c r="E91" s="43"/>
      <c r="F91" s="43"/>
      <c r="G91" s="43"/>
      <c r="H91" s="43"/>
      <c r="I91" s="43"/>
      <c r="J91" s="43"/>
      <c r="K91" s="43"/>
      <c r="L91" s="41"/>
    </row>
    <row r="92" spans="2:12" x14ac:dyDescent="0.25">
      <c r="B92" s="40"/>
      <c r="C92" s="369"/>
      <c r="D92" s="43" t="s">
        <v>601</v>
      </c>
      <c r="E92" s="43"/>
      <c r="F92" s="43"/>
      <c r="G92" s="43"/>
      <c r="H92" s="43"/>
      <c r="I92" s="43"/>
      <c r="J92" s="43"/>
      <c r="K92" s="43"/>
      <c r="L92" s="41"/>
    </row>
    <row r="93" spans="2:12" x14ac:dyDescent="0.25">
      <c r="B93" s="40"/>
      <c r="C93" s="369"/>
      <c r="D93" s="43" t="s">
        <v>602</v>
      </c>
      <c r="E93" s="43"/>
      <c r="F93" s="43"/>
      <c r="G93" s="43"/>
      <c r="H93" s="43"/>
      <c r="I93" s="43"/>
      <c r="J93" s="43"/>
      <c r="K93" s="43"/>
      <c r="L93" s="41"/>
    </row>
    <row r="94" spans="2:12" x14ac:dyDescent="0.25">
      <c r="B94" s="40"/>
      <c r="C94" s="43"/>
      <c r="D94" s="43"/>
      <c r="E94" s="43"/>
      <c r="F94" s="43"/>
      <c r="G94" s="43"/>
      <c r="H94" s="43"/>
      <c r="I94" s="43"/>
      <c r="J94" s="43"/>
      <c r="K94" s="43"/>
      <c r="L94" s="41"/>
    </row>
    <row r="95" spans="2:12" x14ac:dyDescent="0.25">
      <c r="B95" s="40"/>
      <c r="C95" s="43" t="s">
        <v>603</v>
      </c>
      <c r="D95" s="43"/>
      <c r="E95" s="43"/>
      <c r="F95" s="43"/>
      <c r="G95" s="43"/>
      <c r="H95" s="43"/>
      <c r="I95" s="43"/>
      <c r="J95" s="43"/>
      <c r="K95" s="43"/>
      <c r="L95" s="41"/>
    </row>
    <row r="96" spans="2:12" x14ac:dyDescent="0.25">
      <c r="B96" s="40"/>
      <c r="C96" s="43"/>
      <c r="D96" s="43"/>
      <c r="E96" s="43"/>
      <c r="F96" s="43"/>
      <c r="G96" s="43"/>
      <c r="H96" s="43"/>
      <c r="I96" s="43"/>
      <c r="J96" s="43"/>
      <c r="K96" s="43"/>
      <c r="L96" s="41"/>
    </row>
    <row r="97" spans="2:12" x14ac:dyDescent="0.25">
      <c r="B97" s="40"/>
      <c r="C97" s="43" t="s">
        <v>604</v>
      </c>
      <c r="D97" s="43"/>
      <c r="E97" s="43"/>
      <c r="F97" s="43"/>
      <c r="G97" s="43"/>
      <c r="H97" s="43"/>
      <c r="I97" s="43"/>
      <c r="J97" s="43"/>
      <c r="K97" s="43"/>
      <c r="L97" s="41"/>
    </row>
    <row r="98" spans="2:12" x14ac:dyDescent="0.25">
      <c r="B98" s="40"/>
      <c r="C98" s="43"/>
      <c r="D98" s="43"/>
      <c r="E98" s="43"/>
      <c r="F98" s="43"/>
      <c r="G98" s="43"/>
      <c r="H98" s="43"/>
      <c r="I98" s="43"/>
      <c r="J98" s="43"/>
      <c r="K98" s="43"/>
      <c r="L98" s="41"/>
    </row>
    <row r="99" spans="2:12" x14ac:dyDescent="0.25">
      <c r="B99" s="40"/>
      <c r="C99" s="369"/>
      <c r="D99" s="43"/>
      <c r="E99" s="43"/>
      <c r="F99" s="43"/>
      <c r="G99" s="43"/>
      <c r="H99" s="43"/>
      <c r="I99" s="43"/>
      <c r="J99" s="43"/>
      <c r="K99" s="43"/>
      <c r="L99" s="41"/>
    </row>
    <row r="100" spans="2:12" x14ac:dyDescent="0.25">
      <c r="B100" s="40"/>
      <c r="C100" s="369" t="s">
        <v>605</v>
      </c>
      <c r="D100" s="43"/>
      <c r="E100" s="43"/>
      <c r="F100" s="43"/>
      <c r="G100" s="43"/>
      <c r="H100" s="43"/>
      <c r="I100" s="43"/>
      <c r="J100" s="43"/>
      <c r="K100" s="43"/>
      <c r="L100" s="41"/>
    </row>
    <row r="101" spans="2:12" x14ac:dyDescent="0.25">
      <c r="B101" s="40"/>
      <c r="C101" s="43"/>
      <c r="D101" s="43"/>
      <c r="E101" s="43"/>
      <c r="F101" s="43"/>
      <c r="G101" s="43"/>
      <c r="H101" s="43"/>
      <c r="I101" s="43"/>
      <c r="J101" s="43"/>
      <c r="K101" s="43"/>
      <c r="L101" s="41"/>
    </row>
    <row r="102" spans="2:12" x14ac:dyDescent="0.25">
      <c r="B102" s="40"/>
      <c r="C102" s="43" t="s">
        <v>681</v>
      </c>
      <c r="D102" s="43"/>
      <c r="E102" s="43"/>
      <c r="F102" s="43"/>
      <c r="G102" s="43"/>
      <c r="H102" s="43"/>
      <c r="I102" s="43"/>
      <c r="J102" s="43"/>
      <c r="K102" s="43"/>
      <c r="L102" s="41"/>
    </row>
    <row r="103" spans="2:12" x14ac:dyDescent="0.25">
      <c r="B103" s="40"/>
      <c r="C103" s="43"/>
      <c r="D103" s="43"/>
      <c r="E103" s="43"/>
      <c r="F103" s="43"/>
      <c r="G103" s="43"/>
      <c r="H103" s="43"/>
      <c r="I103" s="43"/>
      <c r="J103" s="43"/>
      <c r="K103" s="43"/>
      <c r="L103" s="41"/>
    </row>
    <row r="104" spans="2:12" x14ac:dyDescent="0.25">
      <c r="B104" s="40"/>
      <c r="C104" s="26" t="s">
        <v>606</v>
      </c>
      <c r="D104" s="28"/>
      <c r="E104" s="28"/>
      <c r="F104" s="28"/>
      <c r="G104" s="370" t="s">
        <v>639</v>
      </c>
      <c r="H104" s="28"/>
      <c r="I104" s="28"/>
      <c r="J104" s="28"/>
      <c r="K104" s="27"/>
      <c r="L104" s="41"/>
    </row>
    <row r="105" spans="2:12" x14ac:dyDescent="0.25">
      <c r="B105" s="40"/>
      <c r="C105" s="40"/>
      <c r="D105" s="43"/>
      <c r="E105" s="43"/>
      <c r="F105" s="43"/>
      <c r="G105" s="72"/>
      <c r="H105" s="65"/>
      <c r="I105" s="65"/>
      <c r="J105" s="65"/>
      <c r="K105" s="73"/>
      <c r="L105" s="41"/>
    </row>
    <row r="106" spans="2:12" x14ac:dyDescent="0.25">
      <c r="B106" s="40"/>
      <c r="C106" s="26" t="s">
        <v>607</v>
      </c>
      <c r="D106" s="28"/>
      <c r="E106" s="28"/>
      <c r="F106" s="27"/>
      <c r="G106" s="26" t="s">
        <v>621</v>
      </c>
      <c r="H106" s="28"/>
      <c r="I106" s="28"/>
      <c r="J106" s="28"/>
      <c r="K106" s="27"/>
      <c r="L106" s="41"/>
    </row>
    <row r="107" spans="2:12" x14ac:dyDescent="0.25">
      <c r="B107" s="40"/>
      <c r="C107" s="40"/>
      <c r="D107" s="43"/>
      <c r="E107" s="43"/>
      <c r="F107" s="41"/>
      <c r="G107" s="40" t="s">
        <v>622</v>
      </c>
      <c r="H107" s="43"/>
      <c r="I107" s="43"/>
      <c r="J107" s="43"/>
      <c r="K107" s="41"/>
      <c r="L107" s="41"/>
    </row>
    <row r="108" spans="2:12" x14ac:dyDescent="0.25">
      <c r="B108" s="40"/>
      <c r="C108" s="40"/>
      <c r="D108" s="43"/>
      <c r="E108" s="43"/>
      <c r="F108" s="41"/>
      <c r="G108" s="40" t="s">
        <v>623</v>
      </c>
      <c r="H108" s="43"/>
      <c r="I108" s="43"/>
      <c r="J108" s="43"/>
      <c r="K108" s="41"/>
      <c r="L108" s="41"/>
    </row>
    <row r="109" spans="2:12" x14ac:dyDescent="0.25">
      <c r="B109" s="40"/>
      <c r="C109" s="40"/>
      <c r="D109" s="43"/>
      <c r="E109" s="43"/>
      <c r="F109" s="41"/>
      <c r="G109" s="40" t="s">
        <v>625</v>
      </c>
      <c r="H109" s="43"/>
      <c r="I109" s="43"/>
      <c r="J109" s="43"/>
      <c r="K109" s="41"/>
      <c r="L109" s="41"/>
    </row>
    <row r="110" spans="2:12" x14ac:dyDescent="0.25">
      <c r="B110" s="40"/>
      <c r="C110" s="40"/>
      <c r="D110" s="43"/>
      <c r="E110" s="43"/>
      <c r="F110" s="41"/>
      <c r="G110" s="40" t="s">
        <v>624</v>
      </c>
      <c r="H110" s="43"/>
      <c r="I110" s="43"/>
      <c r="J110" s="43"/>
      <c r="K110" s="41"/>
      <c r="L110" s="41"/>
    </row>
    <row r="111" spans="2:12" x14ac:dyDescent="0.25">
      <c r="B111" s="40"/>
      <c r="C111" s="40"/>
      <c r="D111" s="43"/>
      <c r="E111" s="43"/>
      <c r="F111" s="41"/>
      <c r="G111" s="40" t="s">
        <v>626</v>
      </c>
      <c r="H111" s="43"/>
      <c r="I111" s="43"/>
      <c r="J111" s="43"/>
      <c r="K111" s="41"/>
      <c r="L111" s="41"/>
    </row>
    <row r="112" spans="2:12" x14ac:dyDescent="0.25">
      <c r="B112" s="40"/>
      <c r="C112" s="72"/>
      <c r="D112" s="65"/>
      <c r="E112" s="65"/>
      <c r="F112" s="73"/>
      <c r="G112" s="72"/>
      <c r="H112" s="65"/>
      <c r="I112" s="65"/>
      <c r="J112" s="65"/>
      <c r="K112" s="73"/>
      <c r="L112" s="41"/>
    </row>
    <row r="113" spans="2:12" x14ac:dyDescent="0.25">
      <c r="B113" s="40"/>
      <c r="C113" s="26" t="s">
        <v>608</v>
      </c>
      <c r="D113" s="28"/>
      <c r="E113" s="28"/>
      <c r="F113" s="27"/>
      <c r="G113" s="370" t="s">
        <v>638</v>
      </c>
      <c r="H113" s="28"/>
      <c r="I113" s="28"/>
      <c r="J113" s="28"/>
      <c r="K113" s="27"/>
      <c r="L113" s="41"/>
    </row>
    <row r="114" spans="2:12" x14ac:dyDescent="0.25">
      <c r="B114" s="40"/>
      <c r="C114" s="40" t="s">
        <v>633</v>
      </c>
      <c r="D114" s="43"/>
      <c r="E114" s="43"/>
      <c r="F114" s="41"/>
      <c r="G114" s="40" t="s">
        <v>627</v>
      </c>
      <c r="H114" s="43"/>
      <c r="I114" s="43"/>
      <c r="J114" s="43"/>
      <c r="K114" s="41"/>
      <c r="L114" s="41"/>
    </row>
    <row r="115" spans="2:12" x14ac:dyDescent="0.25">
      <c r="B115" s="40"/>
      <c r="C115" s="40"/>
      <c r="D115" s="43"/>
      <c r="E115" s="43"/>
      <c r="F115" s="41"/>
      <c r="G115" s="40" t="s">
        <v>628</v>
      </c>
      <c r="H115" s="43"/>
      <c r="I115" s="43"/>
      <c r="J115" s="43"/>
      <c r="K115" s="41"/>
      <c r="L115" s="41"/>
    </row>
    <row r="116" spans="2:12" x14ac:dyDescent="0.25">
      <c r="B116" s="40"/>
      <c r="C116" s="72"/>
      <c r="D116" s="65"/>
      <c r="E116" s="65"/>
      <c r="F116" s="73"/>
      <c r="G116" s="72"/>
      <c r="H116" s="65"/>
      <c r="I116" s="65"/>
      <c r="J116" s="65"/>
      <c r="K116" s="73"/>
      <c r="L116" s="41"/>
    </row>
    <row r="117" spans="2:12" x14ac:dyDescent="0.25">
      <c r="B117" s="40"/>
      <c r="C117" s="26" t="s">
        <v>609</v>
      </c>
      <c r="D117" s="28"/>
      <c r="E117" s="28"/>
      <c r="F117" s="27"/>
      <c r="G117" s="370" t="s">
        <v>638</v>
      </c>
      <c r="H117" s="28"/>
      <c r="I117" s="28"/>
      <c r="J117" s="28"/>
      <c r="K117" s="27"/>
      <c r="L117" s="41"/>
    </row>
    <row r="118" spans="2:12" x14ac:dyDescent="0.25">
      <c r="B118" s="40"/>
      <c r="C118" s="40"/>
      <c r="D118" s="43"/>
      <c r="E118" s="43"/>
      <c r="F118" s="41"/>
      <c r="G118" s="40" t="s">
        <v>630</v>
      </c>
      <c r="H118" s="43"/>
      <c r="I118" s="43"/>
      <c r="J118" s="43"/>
      <c r="K118" s="41"/>
      <c r="L118" s="41"/>
    </row>
    <row r="119" spans="2:12" x14ac:dyDescent="0.25">
      <c r="B119" s="40"/>
      <c r="C119" s="40"/>
      <c r="D119" s="43"/>
      <c r="E119" s="43"/>
      <c r="F119" s="41"/>
      <c r="G119" s="40" t="s">
        <v>629</v>
      </c>
      <c r="H119" s="43"/>
      <c r="I119" s="43"/>
      <c r="J119" s="43"/>
      <c r="K119" s="41"/>
      <c r="L119" s="41"/>
    </row>
    <row r="120" spans="2:12" x14ac:dyDescent="0.25">
      <c r="B120" s="40"/>
      <c r="C120" s="72"/>
      <c r="D120" s="65"/>
      <c r="E120" s="65"/>
      <c r="F120" s="73"/>
      <c r="G120" s="72"/>
      <c r="H120" s="65"/>
      <c r="I120" s="65"/>
      <c r="J120" s="65"/>
      <c r="K120" s="73"/>
      <c r="L120" s="41"/>
    </row>
    <row r="121" spans="2:12" x14ac:dyDescent="0.25">
      <c r="B121" s="40"/>
      <c r="C121" s="26" t="s">
        <v>610</v>
      </c>
      <c r="D121" s="28"/>
      <c r="E121" s="28"/>
      <c r="F121" s="27"/>
      <c r="G121" s="370" t="s">
        <v>638</v>
      </c>
      <c r="H121" s="28"/>
      <c r="I121" s="28"/>
      <c r="J121" s="28"/>
      <c r="K121" s="27"/>
      <c r="L121" s="41"/>
    </row>
    <row r="122" spans="2:12" x14ac:dyDescent="0.25">
      <c r="B122" s="40"/>
      <c r="C122" s="40"/>
      <c r="D122" s="43"/>
      <c r="E122" s="43"/>
      <c r="F122" s="41"/>
      <c r="G122" s="40" t="s">
        <v>631</v>
      </c>
      <c r="H122" s="43"/>
      <c r="I122" s="43"/>
      <c r="J122" s="43"/>
      <c r="K122" s="41"/>
      <c r="L122" s="41"/>
    </row>
    <row r="123" spans="2:12" x14ac:dyDescent="0.25">
      <c r="B123" s="40"/>
      <c r="C123" s="40"/>
      <c r="D123" s="43"/>
      <c r="E123" s="43"/>
      <c r="F123" s="41"/>
      <c r="G123" s="40" t="s">
        <v>632</v>
      </c>
      <c r="H123" s="43"/>
      <c r="I123" s="43"/>
      <c r="J123" s="43"/>
      <c r="K123" s="41"/>
      <c r="L123" s="41"/>
    </row>
    <row r="124" spans="2:12" x14ac:dyDescent="0.25">
      <c r="B124" s="40"/>
      <c r="C124" s="72"/>
      <c r="D124" s="65"/>
      <c r="E124" s="65"/>
      <c r="F124" s="73"/>
      <c r="G124" s="72"/>
      <c r="H124" s="65"/>
      <c r="I124" s="65"/>
      <c r="J124" s="65"/>
      <c r="K124" s="73"/>
      <c r="L124" s="41"/>
    </row>
    <row r="125" spans="2:12" x14ac:dyDescent="0.25">
      <c r="B125" s="40"/>
      <c r="C125" s="26" t="s">
        <v>611</v>
      </c>
      <c r="D125" s="28"/>
      <c r="E125" s="28"/>
      <c r="F125" s="27"/>
      <c r="G125" s="28" t="s">
        <v>634</v>
      </c>
      <c r="H125" s="28"/>
      <c r="I125" s="28"/>
      <c r="J125" s="28"/>
      <c r="K125" s="27"/>
      <c r="L125" s="41"/>
    </row>
    <row r="126" spans="2:12" x14ac:dyDescent="0.25">
      <c r="B126" s="40"/>
      <c r="C126" s="40"/>
      <c r="D126" s="43"/>
      <c r="E126" s="43"/>
      <c r="F126" s="41"/>
      <c r="G126" s="43" t="s">
        <v>635</v>
      </c>
      <c r="H126" s="43"/>
      <c r="I126" s="43"/>
      <c r="J126" s="43"/>
      <c r="K126" s="41"/>
      <c r="L126" s="41"/>
    </row>
    <row r="127" spans="2:12" x14ac:dyDescent="0.25">
      <c r="B127" s="40"/>
      <c r="C127" s="40"/>
      <c r="D127" s="43"/>
      <c r="E127" s="43"/>
      <c r="F127" s="41"/>
      <c r="G127" s="43" t="s">
        <v>654</v>
      </c>
      <c r="H127" s="43"/>
      <c r="I127" s="43"/>
      <c r="J127" s="43"/>
      <c r="K127" s="41"/>
      <c r="L127" s="41"/>
    </row>
    <row r="128" spans="2:12" x14ac:dyDescent="0.25">
      <c r="B128" s="40"/>
      <c r="C128" s="72"/>
      <c r="D128" s="65"/>
      <c r="E128" s="65"/>
      <c r="F128" s="73"/>
      <c r="G128" s="65"/>
      <c r="H128" s="65"/>
      <c r="I128" s="65"/>
      <c r="J128" s="65"/>
      <c r="K128" s="73"/>
      <c r="L128" s="41"/>
    </row>
    <row r="129" spans="2:12" x14ac:dyDescent="0.25">
      <c r="B129" s="40"/>
      <c r="C129" s="40" t="s">
        <v>612</v>
      </c>
      <c r="D129" s="43"/>
      <c r="E129" s="43"/>
      <c r="F129" s="41"/>
      <c r="G129" s="28" t="s">
        <v>634</v>
      </c>
      <c r="H129" s="28"/>
      <c r="I129" s="28"/>
      <c r="J129" s="28"/>
      <c r="K129" s="27"/>
      <c r="L129" s="41"/>
    </row>
    <row r="130" spans="2:12" x14ac:dyDescent="0.25">
      <c r="B130" s="40"/>
      <c r="C130" s="40"/>
      <c r="D130" s="43"/>
      <c r="E130" s="43"/>
      <c r="F130" s="41"/>
      <c r="G130" s="43" t="s">
        <v>635</v>
      </c>
      <c r="H130" s="43"/>
      <c r="I130" s="43"/>
      <c r="J130" s="43"/>
      <c r="K130" s="41"/>
      <c r="L130" s="41"/>
    </row>
    <row r="131" spans="2:12" x14ac:dyDescent="0.25">
      <c r="B131" s="40"/>
      <c r="C131" s="40"/>
      <c r="D131" s="43"/>
      <c r="E131" s="43"/>
      <c r="F131" s="41"/>
      <c r="G131" s="43" t="s">
        <v>654</v>
      </c>
      <c r="H131" s="43"/>
      <c r="I131" s="43"/>
      <c r="J131" s="43"/>
      <c r="K131" s="41"/>
      <c r="L131" s="41"/>
    </row>
    <row r="132" spans="2:12" x14ac:dyDescent="0.25">
      <c r="B132" s="40"/>
      <c r="C132" s="72"/>
      <c r="D132" s="65"/>
      <c r="E132" s="65"/>
      <c r="F132" s="73"/>
      <c r="G132" s="65"/>
      <c r="H132" s="65"/>
      <c r="I132" s="65"/>
      <c r="J132" s="65"/>
      <c r="K132" s="73"/>
      <c r="L132" s="41"/>
    </row>
    <row r="133" spans="2:12" x14ac:dyDescent="0.25">
      <c r="B133" s="40"/>
      <c r="C133" s="26" t="s">
        <v>613</v>
      </c>
      <c r="D133" s="28"/>
      <c r="E133" s="28"/>
      <c r="F133" s="27"/>
      <c r="G133" s="26" t="s">
        <v>636</v>
      </c>
      <c r="H133" s="28"/>
      <c r="I133" s="28"/>
      <c r="J133" s="28"/>
      <c r="K133" s="27"/>
      <c r="L133" s="41"/>
    </row>
    <row r="134" spans="2:12" x14ac:dyDescent="0.25">
      <c r="B134" s="40"/>
      <c r="C134" s="40"/>
      <c r="D134" s="43"/>
      <c r="E134" s="43"/>
      <c r="F134" s="41"/>
      <c r="G134" s="40" t="s">
        <v>637</v>
      </c>
      <c r="H134" s="43"/>
      <c r="I134" s="43"/>
      <c r="J134" s="43"/>
      <c r="K134" s="41"/>
      <c r="L134" s="41"/>
    </row>
    <row r="135" spans="2:12" x14ac:dyDescent="0.25">
      <c r="B135" s="40"/>
      <c r="C135" s="72"/>
      <c r="D135" s="65"/>
      <c r="E135" s="65"/>
      <c r="F135" s="73"/>
      <c r="G135" s="72"/>
      <c r="H135" s="65"/>
      <c r="I135" s="65"/>
      <c r="J135" s="65"/>
      <c r="K135" s="73"/>
      <c r="L135" s="41"/>
    </row>
    <row r="136" spans="2:12" x14ac:dyDescent="0.25">
      <c r="B136" s="40"/>
      <c r="C136" s="26" t="s">
        <v>614</v>
      </c>
      <c r="D136" s="28"/>
      <c r="E136" s="28"/>
      <c r="F136" s="27"/>
      <c r="G136" s="370" t="s">
        <v>638</v>
      </c>
      <c r="H136" s="28"/>
      <c r="I136" s="28"/>
      <c r="J136" s="28"/>
      <c r="K136" s="27"/>
      <c r="L136" s="41"/>
    </row>
    <row r="137" spans="2:12" x14ac:dyDescent="0.25">
      <c r="B137" s="40"/>
      <c r="C137" s="40" t="s">
        <v>633</v>
      </c>
      <c r="D137" s="43"/>
      <c r="E137" s="43"/>
      <c r="F137" s="41"/>
      <c r="G137" s="40" t="s">
        <v>623</v>
      </c>
      <c r="H137" s="43"/>
      <c r="I137" s="43"/>
      <c r="J137" s="43"/>
      <c r="K137" s="41"/>
      <c r="L137" s="41"/>
    </row>
    <row r="138" spans="2:12" x14ac:dyDescent="0.25">
      <c r="B138" s="40"/>
      <c r="C138" s="40"/>
      <c r="D138" s="43"/>
      <c r="E138" s="43"/>
      <c r="F138" s="41"/>
      <c r="G138" s="40" t="s">
        <v>655</v>
      </c>
      <c r="H138" s="43"/>
      <c r="I138" s="43"/>
      <c r="J138" s="43"/>
      <c r="K138" s="41"/>
      <c r="L138" s="41"/>
    </row>
    <row r="139" spans="2:12" x14ac:dyDescent="0.25">
      <c r="B139" s="40"/>
      <c r="C139" s="40"/>
      <c r="D139" s="43"/>
      <c r="E139" s="43"/>
      <c r="F139" s="41"/>
      <c r="G139" s="40" t="s">
        <v>645</v>
      </c>
      <c r="H139" s="43"/>
      <c r="I139" s="43"/>
      <c r="J139" s="43"/>
      <c r="K139" s="41"/>
      <c r="L139" s="41"/>
    </row>
    <row r="140" spans="2:12" x14ac:dyDescent="0.25">
      <c r="B140" s="40"/>
      <c r="C140" s="40"/>
      <c r="D140" s="43"/>
      <c r="E140" s="43"/>
      <c r="F140" s="41"/>
      <c r="G140" s="40" t="s">
        <v>641</v>
      </c>
      <c r="H140" s="43"/>
      <c r="I140" s="43"/>
      <c r="J140" s="43"/>
      <c r="K140" s="41"/>
      <c r="L140" s="41"/>
    </row>
    <row r="141" spans="2:12" x14ac:dyDescent="0.25">
      <c r="B141" s="40"/>
      <c r="C141" s="40"/>
      <c r="D141" s="43"/>
      <c r="E141" s="43"/>
      <c r="F141" s="41"/>
      <c r="G141" s="43" t="s">
        <v>642</v>
      </c>
      <c r="H141" s="43"/>
      <c r="I141" s="43"/>
      <c r="J141" s="43"/>
      <c r="K141" s="41"/>
      <c r="L141" s="41"/>
    </row>
    <row r="142" spans="2:12" x14ac:dyDescent="0.25">
      <c r="B142" s="40"/>
      <c r="C142" s="40"/>
      <c r="D142" s="43"/>
      <c r="E142" s="43"/>
      <c r="F142" s="41"/>
      <c r="G142" s="43" t="s">
        <v>629</v>
      </c>
      <c r="H142" s="43"/>
      <c r="I142" s="43"/>
      <c r="J142" s="43"/>
      <c r="K142" s="41"/>
      <c r="L142" s="41"/>
    </row>
    <row r="143" spans="2:12" x14ac:dyDescent="0.25">
      <c r="B143" s="40"/>
      <c r="C143" s="40"/>
      <c r="D143" s="43"/>
      <c r="E143" s="43"/>
      <c r="F143" s="41"/>
      <c r="G143" s="40" t="s">
        <v>643</v>
      </c>
      <c r="H143" s="43"/>
      <c r="I143" s="43"/>
      <c r="J143" s="43"/>
      <c r="K143" s="41"/>
      <c r="L143" s="41"/>
    </row>
    <row r="144" spans="2:12" x14ac:dyDescent="0.25">
      <c r="B144" s="40"/>
      <c r="C144" s="72"/>
      <c r="D144" s="65"/>
      <c r="E144" s="65"/>
      <c r="F144" s="73"/>
      <c r="G144" s="72"/>
      <c r="H144" s="65"/>
      <c r="I144" s="65"/>
      <c r="J144" s="65"/>
      <c r="K144" s="73"/>
      <c r="L144" s="41"/>
    </row>
    <row r="145" spans="2:12" x14ac:dyDescent="0.25">
      <c r="B145" s="40"/>
      <c r="C145" s="26" t="s">
        <v>615</v>
      </c>
      <c r="D145" s="28"/>
      <c r="E145" s="28"/>
      <c r="F145" s="27"/>
      <c r="G145" s="26" t="s">
        <v>644</v>
      </c>
      <c r="H145" s="28"/>
      <c r="I145" s="28"/>
      <c r="J145" s="28"/>
      <c r="K145" s="27"/>
      <c r="L145" s="41"/>
    </row>
    <row r="146" spans="2:12" x14ac:dyDescent="0.25">
      <c r="B146" s="40"/>
      <c r="C146" s="40"/>
      <c r="D146" s="43"/>
      <c r="E146" s="43"/>
      <c r="F146" s="41"/>
      <c r="G146" s="40" t="s">
        <v>645</v>
      </c>
      <c r="H146" s="43"/>
      <c r="I146" s="43"/>
      <c r="J146" s="43"/>
      <c r="K146" s="41"/>
      <c r="L146" s="41"/>
    </row>
    <row r="147" spans="2:12" x14ac:dyDescent="0.25">
      <c r="B147" s="40"/>
      <c r="C147" s="40"/>
      <c r="D147" s="43"/>
      <c r="E147" s="43"/>
      <c r="F147" s="41"/>
      <c r="G147" s="43" t="s">
        <v>630</v>
      </c>
      <c r="H147" s="43"/>
      <c r="I147" s="43"/>
      <c r="J147" s="43"/>
      <c r="K147" s="41"/>
      <c r="L147" s="41"/>
    </row>
    <row r="148" spans="2:12" x14ac:dyDescent="0.25">
      <c r="B148" s="40"/>
      <c r="C148" s="40"/>
      <c r="D148" s="43"/>
      <c r="E148" s="43"/>
      <c r="F148" s="41"/>
      <c r="G148" s="43" t="s">
        <v>629</v>
      </c>
      <c r="H148" s="43"/>
      <c r="I148" s="43"/>
      <c r="J148" s="43"/>
      <c r="K148" s="41"/>
      <c r="L148" s="41"/>
    </row>
    <row r="149" spans="2:12" x14ac:dyDescent="0.25">
      <c r="B149" s="40"/>
      <c r="C149" s="72"/>
      <c r="D149" s="65"/>
      <c r="E149" s="65"/>
      <c r="F149" s="73"/>
      <c r="G149" s="72"/>
      <c r="H149" s="65"/>
      <c r="I149" s="65"/>
      <c r="J149" s="65"/>
      <c r="K149" s="73"/>
      <c r="L149" s="41"/>
    </row>
    <row r="150" spans="2:12" x14ac:dyDescent="0.25">
      <c r="B150" s="40"/>
      <c r="C150" s="26" t="s">
        <v>496</v>
      </c>
      <c r="D150" s="28"/>
      <c r="E150" s="28"/>
      <c r="F150" s="27"/>
      <c r="G150" s="26" t="s">
        <v>646</v>
      </c>
      <c r="H150" s="28"/>
      <c r="I150" s="28"/>
      <c r="J150" s="28"/>
      <c r="K150" s="27"/>
      <c r="L150" s="41"/>
    </row>
    <row r="151" spans="2:12" x14ac:dyDescent="0.25">
      <c r="B151" s="40"/>
      <c r="C151" s="40" t="s">
        <v>633</v>
      </c>
      <c r="D151" s="43"/>
      <c r="E151" s="43"/>
      <c r="F151" s="41"/>
      <c r="G151" s="40" t="s">
        <v>650</v>
      </c>
      <c r="H151" s="43"/>
      <c r="I151" s="43"/>
      <c r="J151" s="43"/>
      <c r="K151" s="41"/>
      <c r="L151" s="41"/>
    </row>
    <row r="152" spans="2:12" x14ac:dyDescent="0.25">
      <c r="B152" s="40"/>
      <c r="C152" s="40"/>
      <c r="D152" s="43"/>
      <c r="E152" s="43"/>
      <c r="F152" s="41"/>
      <c r="G152" s="40" t="s">
        <v>648</v>
      </c>
      <c r="H152" s="43"/>
      <c r="I152" s="43"/>
      <c r="J152" s="43"/>
      <c r="K152" s="41"/>
      <c r="L152" s="41"/>
    </row>
    <row r="153" spans="2:12" x14ac:dyDescent="0.25">
      <c r="B153" s="40"/>
      <c r="C153" s="40"/>
      <c r="D153" s="43"/>
      <c r="E153" s="43"/>
      <c r="F153" s="41"/>
      <c r="G153" s="40" t="s">
        <v>647</v>
      </c>
      <c r="H153" s="43"/>
      <c r="I153" s="43"/>
      <c r="J153" s="43"/>
      <c r="K153" s="41"/>
      <c r="L153" s="41"/>
    </row>
    <row r="154" spans="2:12" x14ac:dyDescent="0.25">
      <c r="B154" s="40"/>
      <c r="C154" s="72"/>
      <c r="D154" s="65"/>
      <c r="E154" s="65"/>
      <c r="F154" s="73"/>
      <c r="G154" s="72"/>
      <c r="H154" s="65"/>
      <c r="I154" s="65"/>
      <c r="J154" s="65"/>
      <c r="K154" s="73"/>
      <c r="L154" s="41"/>
    </row>
    <row r="155" spans="2:12" x14ac:dyDescent="0.25">
      <c r="B155" s="40"/>
      <c r="C155" s="26" t="s">
        <v>616</v>
      </c>
      <c r="D155" s="28"/>
      <c r="E155" s="28"/>
      <c r="F155" s="27"/>
      <c r="G155" s="26" t="s">
        <v>649</v>
      </c>
      <c r="H155" s="28"/>
      <c r="I155" s="28"/>
      <c r="J155" s="28"/>
      <c r="K155" s="27"/>
      <c r="L155" s="41"/>
    </row>
    <row r="156" spans="2:12" x14ac:dyDescent="0.25">
      <c r="B156" s="40"/>
      <c r="C156" s="40" t="s">
        <v>633</v>
      </c>
      <c r="D156" s="43"/>
      <c r="E156" s="43"/>
      <c r="F156" s="41"/>
      <c r="G156" s="1" t="s">
        <v>635</v>
      </c>
      <c r="H156" s="43"/>
      <c r="I156" s="43"/>
      <c r="J156" s="43"/>
      <c r="K156" s="41"/>
      <c r="L156" s="41"/>
    </row>
    <row r="157" spans="2:12" x14ac:dyDescent="0.25">
      <c r="B157" s="40"/>
      <c r="C157" s="40"/>
      <c r="D157" s="43"/>
      <c r="E157" s="43"/>
      <c r="F157" s="41"/>
      <c r="G157" s="1" t="s">
        <v>654</v>
      </c>
      <c r="H157" s="43"/>
      <c r="I157" s="43"/>
      <c r="J157" s="43"/>
      <c r="K157" s="41"/>
      <c r="L157" s="41"/>
    </row>
    <row r="158" spans="2:12" x14ac:dyDescent="0.25">
      <c r="B158" s="40"/>
      <c r="C158" s="40"/>
      <c r="D158" s="43"/>
      <c r="E158" s="43"/>
      <c r="F158" s="41"/>
      <c r="G158" s="40" t="s">
        <v>650</v>
      </c>
      <c r="H158" s="43"/>
      <c r="I158" s="43"/>
      <c r="J158" s="43"/>
      <c r="K158" s="41"/>
      <c r="L158" s="41"/>
    </row>
    <row r="159" spans="2:12" x14ac:dyDescent="0.25">
      <c r="B159" s="40"/>
      <c r="C159" s="40"/>
      <c r="D159" s="43"/>
      <c r="E159" s="43"/>
      <c r="F159" s="41"/>
      <c r="G159" s="25" t="s">
        <v>648</v>
      </c>
      <c r="H159" s="43"/>
      <c r="I159" s="43"/>
      <c r="J159" s="43"/>
      <c r="K159" s="41"/>
      <c r="L159" s="41"/>
    </row>
    <row r="160" spans="2:12" x14ac:dyDescent="0.25">
      <c r="B160" s="40"/>
      <c r="C160" s="40"/>
      <c r="D160" s="43"/>
      <c r="E160" s="43"/>
      <c r="F160" s="41"/>
      <c r="G160" s="25" t="s">
        <v>651</v>
      </c>
      <c r="H160" s="43"/>
      <c r="I160" s="43"/>
      <c r="J160" s="43"/>
      <c r="K160" s="41"/>
      <c r="L160" s="41"/>
    </row>
    <row r="161" spans="2:14" x14ac:dyDescent="0.25">
      <c r="B161" s="40"/>
      <c r="C161" s="72"/>
      <c r="D161" s="65"/>
      <c r="E161" s="65"/>
      <c r="F161" s="73"/>
      <c r="G161" s="72"/>
      <c r="H161" s="65"/>
      <c r="I161" s="65"/>
      <c r="J161" s="65"/>
      <c r="K161" s="73"/>
      <c r="L161" s="41"/>
    </row>
    <row r="162" spans="2:14" x14ac:dyDescent="0.25">
      <c r="B162" s="40"/>
      <c r="C162" s="26" t="s">
        <v>617</v>
      </c>
      <c r="D162" s="28"/>
      <c r="E162" s="28"/>
      <c r="F162" s="27"/>
      <c r="G162" s="26" t="s">
        <v>649</v>
      </c>
      <c r="H162" s="28"/>
      <c r="I162" s="28"/>
      <c r="J162" s="28"/>
      <c r="K162" s="27"/>
      <c r="L162" s="41"/>
    </row>
    <row r="163" spans="2:14" x14ac:dyDescent="0.25">
      <c r="B163" s="40"/>
      <c r="C163" s="40" t="s">
        <v>633</v>
      </c>
      <c r="D163" s="43"/>
      <c r="E163" s="43"/>
      <c r="F163" s="41"/>
      <c r="G163" s="1" t="s">
        <v>635</v>
      </c>
      <c r="H163" s="43"/>
      <c r="I163" s="43"/>
      <c r="J163" s="43"/>
      <c r="K163" s="41"/>
      <c r="L163" s="41"/>
    </row>
    <row r="164" spans="2:14" x14ac:dyDescent="0.25">
      <c r="B164" s="40"/>
      <c r="C164" s="40"/>
      <c r="D164" s="43"/>
      <c r="E164" s="43"/>
      <c r="F164" s="41"/>
      <c r="G164" s="1" t="s">
        <v>654</v>
      </c>
      <c r="H164" s="43"/>
      <c r="I164" s="43"/>
      <c r="J164" s="43"/>
      <c r="K164" s="41"/>
      <c r="L164" s="41"/>
    </row>
    <row r="165" spans="2:14" x14ac:dyDescent="0.25">
      <c r="B165" s="40"/>
      <c r="C165" s="40"/>
      <c r="D165" s="43"/>
      <c r="E165" s="43"/>
      <c r="F165" s="41"/>
      <c r="G165" s="40" t="s">
        <v>650</v>
      </c>
      <c r="H165" s="43"/>
      <c r="I165" s="43"/>
      <c r="J165" s="43"/>
      <c r="K165" s="41"/>
      <c r="L165" s="41"/>
    </row>
    <row r="166" spans="2:14" x14ac:dyDescent="0.25">
      <c r="B166" s="40"/>
      <c r="C166" s="40"/>
      <c r="D166" s="43"/>
      <c r="E166" s="43"/>
      <c r="F166" s="41"/>
      <c r="G166" s="40" t="s">
        <v>648</v>
      </c>
      <c r="H166" s="43"/>
      <c r="I166" s="43"/>
      <c r="J166" s="43"/>
      <c r="K166" s="41"/>
      <c r="L166" s="41"/>
    </row>
    <row r="167" spans="2:14" x14ac:dyDescent="0.25">
      <c r="B167" s="40"/>
      <c r="C167" s="40"/>
      <c r="D167" s="43"/>
      <c r="E167" s="43"/>
      <c r="F167" s="41"/>
      <c r="G167" s="40" t="s">
        <v>647</v>
      </c>
      <c r="H167" s="43"/>
      <c r="I167" s="43"/>
      <c r="J167" s="43"/>
      <c r="K167" s="41"/>
      <c r="L167" s="41"/>
    </row>
    <row r="168" spans="2:14" x14ac:dyDescent="0.25">
      <c r="B168" s="40"/>
      <c r="C168" s="72"/>
      <c r="D168" s="65"/>
      <c r="E168" s="65"/>
      <c r="F168" s="73"/>
      <c r="G168" s="72"/>
      <c r="H168" s="65"/>
      <c r="I168" s="65"/>
      <c r="J168" s="65"/>
      <c r="K168" s="73"/>
      <c r="L168" s="41"/>
    </row>
    <row r="169" spans="2:14" x14ac:dyDescent="0.25">
      <c r="B169" s="40"/>
      <c r="C169" s="26" t="s">
        <v>618</v>
      </c>
      <c r="D169" s="28"/>
      <c r="E169" s="28"/>
      <c r="F169" s="27"/>
      <c r="G169" s="26" t="s">
        <v>656</v>
      </c>
      <c r="H169" s="28"/>
      <c r="I169" s="28"/>
      <c r="J169" s="28"/>
      <c r="K169" s="27"/>
      <c r="L169" s="41"/>
    </row>
    <row r="170" spans="2:14" x14ac:dyDescent="0.25">
      <c r="B170" s="40"/>
      <c r="C170" s="40"/>
      <c r="D170" s="43"/>
      <c r="E170" s="43"/>
      <c r="F170" s="41"/>
      <c r="G170" s="40" t="s">
        <v>657</v>
      </c>
      <c r="H170" s="43"/>
      <c r="I170" s="43"/>
      <c r="J170" s="43"/>
      <c r="K170" s="41"/>
      <c r="L170" s="41"/>
    </row>
    <row r="171" spans="2:14" x14ac:dyDescent="0.25">
      <c r="B171" s="40"/>
      <c r="C171" s="40"/>
      <c r="D171" s="43"/>
      <c r="E171" s="43"/>
      <c r="F171" s="41"/>
      <c r="G171" s="40" t="s">
        <v>658</v>
      </c>
      <c r="H171" s="43"/>
      <c r="I171" s="43"/>
      <c r="J171" s="43"/>
      <c r="K171" s="41"/>
      <c r="L171" s="41"/>
    </row>
    <row r="172" spans="2:14" x14ac:dyDescent="0.25">
      <c r="B172" s="40"/>
      <c r="C172" s="40"/>
      <c r="D172" s="43"/>
      <c r="E172" s="43"/>
      <c r="F172" s="41"/>
      <c r="G172" s="40" t="s">
        <v>635</v>
      </c>
      <c r="H172" s="43"/>
      <c r="I172" s="43"/>
      <c r="J172" s="43"/>
      <c r="K172" s="41"/>
      <c r="L172" s="41"/>
    </row>
    <row r="173" spans="2:14" x14ac:dyDescent="0.25">
      <c r="B173" s="40"/>
      <c r="C173" s="40"/>
      <c r="D173" s="43"/>
      <c r="E173" s="43"/>
      <c r="F173" s="41"/>
      <c r="G173" s="40" t="s">
        <v>654</v>
      </c>
      <c r="H173" s="43"/>
      <c r="I173" s="43"/>
      <c r="J173" s="43"/>
      <c r="K173" s="41"/>
      <c r="L173" s="41"/>
      <c r="N173" s="43"/>
    </row>
    <row r="174" spans="2:14" x14ac:dyDescent="0.25">
      <c r="B174" s="40"/>
      <c r="C174" s="72"/>
      <c r="D174" s="65"/>
      <c r="E174" s="65"/>
      <c r="F174" s="73"/>
      <c r="G174" s="72"/>
      <c r="H174" s="65"/>
      <c r="I174" s="65"/>
      <c r="J174" s="65"/>
      <c r="K174" s="73"/>
      <c r="L174" s="41"/>
      <c r="N174" s="43"/>
    </row>
    <row r="175" spans="2:14" x14ac:dyDescent="0.25">
      <c r="B175" s="40"/>
      <c r="C175" s="26" t="s">
        <v>663</v>
      </c>
      <c r="D175" s="28"/>
      <c r="E175" s="28"/>
      <c r="F175" s="27"/>
      <c r="G175" s="26" t="s">
        <v>661</v>
      </c>
      <c r="H175" s="28"/>
      <c r="I175" s="28"/>
      <c r="J175" s="28"/>
      <c r="K175" s="27"/>
      <c r="L175" s="41"/>
      <c r="N175" s="43"/>
    </row>
    <row r="176" spans="2:14" x14ac:dyDescent="0.25">
      <c r="B176" s="40"/>
      <c r="C176" s="40" t="s">
        <v>659</v>
      </c>
      <c r="D176" s="43"/>
      <c r="E176" s="43"/>
      <c r="F176" s="41"/>
      <c r="G176" s="40" t="s">
        <v>662</v>
      </c>
      <c r="H176" s="43"/>
      <c r="I176" s="43"/>
      <c r="J176" s="43"/>
      <c r="K176" s="41"/>
      <c r="L176" s="41"/>
      <c r="N176" s="43"/>
    </row>
    <row r="177" spans="1:14" x14ac:dyDescent="0.25">
      <c r="B177" s="40"/>
      <c r="C177" s="40"/>
      <c r="D177" s="43"/>
      <c r="E177" s="43"/>
      <c r="F177" s="41"/>
      <c r="G177" s="40" t="s">
        <v>660</v>
      </c>
      <c r="H177" s="43"/>
      <c r="I177" s="43"/>
      <c r="J177" s="43"/>
      <c r="K177" s="41"/>
      <c r="L177" s="41"/>
      <c r="N177" s="43"/>
    </row>
    <row r="178" spans="1:14" x14ac:dyDescent="0.25">
      <c r="B178" s="40"/>
      <c r="C178" s="72"/>
      <c r="D178" s="65"/>
      <c r="E178" s="65"/>
      <c r="F178" s="73"/>
      <c r="G178" s="72"/>
      <c r="H178" s="65"/>
      <c r="I178" s="65"/>
      <c r="J178" s="65"/>
      <c r="K178" s="73"/>
      <c r="L178" s="41"/>
      <c r="N178" s="43"/>
    </row>
    <row r="179" spans="1:14" x14ac:dyDescent="0.25">
      <c r="A179" s="43"/>
      <c r="B179" s="40"/>
      <c r="C179" s="26" t="s">
        <v>664</v>
      </c>
      <c r="D179" s="28"/>
      <c r="E179" s="28"/>
      <c r="F179" s="27"/>
      <c r="G179" s="26" t="s">
        <v>661</v>
      </c>
      <c r="H179" s="28"/>
      <c r="I179" s="28"/>
      <c r="J179" s="28"/>
      <c r="K179" s="27"/>
      <c r="L179" s="41"/>
      <c r="N179" s="43"/>
    </row>
    <row r="180" spans="1:14" x14ac:dyDescent="0.25">
      <c r="B180" s="40"/>
      <c r="C180" s="40" t="s">
        <v>659</v>
      </c>
      <c r="D180" s="43"/>
      <c r="E180" s="43"/>
      <c r="F180" s="41"/>
      <c r="G180" s="40" t="s">
        <v>662</v>
      </c>
      <c r="H180" s="43"/>
      <c r="I180" s="43"/>
      <c r="J180" s="43"/>
      <c r="K180" s="41"/>
      <c r="L180" s="41"/>
      <c r="N180" s="43"/>
    </row>
    <row r="181" spans="1:14" x14ac:dyDescent="0.25">
      <c r="B181" s="40"/>
      <c r="C181" s="40"/>
      <c r="D181" s="43"/>
      <c r="E181" s="43"/>
      <c r="F181" s="41"/>
      <c r="G181" s="40" t="s">
        <v>660</v>
      </c>
      <c r="H181" s="43"/>
      <c r="I181" s="43"/>
      <c r="J181" s="43"/>
      <c r="K181" s="41"/>
      <c r="L181" s="41"/>
      <c r="N181" s="43"/>
    </row>
    <row r="182" spans="1:14" x14ac:dyDescent="0.25">
      <c r="B182" s="40"/>
      <c r="C182" s="72"/>
      <c r="D182" s="65"/>
      <c r="E182" s="65"/>
      <c r="F182" s="73"/>
      <c r="G182" s="72"/>
      <c r="H182" s="65"/>
      <c r="I182" s="65"/>
      <c r="J182" s="65"/>
      <c r="K182" s="73"/>
      <c r="L182" s="41"/>
      <c r="N182" s="43"/>
    </row>
    <row r="183" spans="1:14" x14ac:dyDescent="0.25">
      <c r="B183" s="40"/>
      <c r="C183" s="40" t="s">
        <v>665</v>
      </c>
      <c r="D183" s="28"/>
      <c r="E183" s="28"/>
      <c r="F183" s="27"/>
      <c r="G183" s="26" t="s">
        <v>661</v>
      </c>
      <c r="H183" s="28"/>
      <c r="I183" s="28"/>
      <c r="J183" s="28"/>
      <c r="K183" s="27"/>
      <c r="L183" s="41"/>
      <c r="N183" s="43"/>
    </row>
    <row r="184" spans="1:14" x14ac:dyDescent="0.25">
      <c r="B184" s="40"/>
      <c r="C184" s="40" t="s">
        <v>659</v>
      </c>
      <c r="D184" s="43"/>
      <c r="E184" s="43"/>
      <c r="F184" s="41"/>
      <c r="G184" s="40" t="s">
        <v>662</v>
      </c>
      <c r="H184" s="43"/>
      <c r="I184" s="43"/>
      <c r="J184" s="43"/>
      <c r="K184" s="41"/>
      <c r="L184" s="41"/>
      <c r="N184" s="43"/>
    </row>
    <row r="185" spans="1:14" x14ac:dyDescent="0.25">
      <c r="B185" s="40"/>
      <c r="C185" s="40"/>
      <c r="D185" s="43"/>
      <c r="E185" s="43"/>
      <c r="F185" s="41"/>
      <c r="G185" s="40" t="s">
        <v>660</v>
      </c>
      <c r="H185" s="43"/>
      <c r="I185" s="43"/>
      <c r="J185" s="43"/>
      <c r="K185" s="41"/>
      <c r="L185" s="41"/>
      <c r="N185" s="43"/>
    </row>
    <row r="186" spans="1:14" x14ac:dyDescent="0.25">
      <c r="B186" s="40"/>
      <c r="C186" s="72"/>
      <c r="D186" s="65"/>
      <c r="E186" s="65"/>
      <c r="F186" s="73"/>
      <c r="G186" s="72"/>
      <c r="H186" s="65"/>
      <c r="I186" s="65"/>
      <c r="J186" s="65"/>
      <c r="K186" s="73"/>
      <c r="L186" s="41"/>
      <c r="N186" s="43"/>
    </row>
    <row r="187" spans="1:14" x14ac:dyDescent="0.25">
      <c r="B187" s="40"/>
      <c r="C187" s="40" t="s">
        <v>666</v>
      </c>
      <c r="D187" s="28"/>
      <c r="E187" s="28"/>
      <c r="F187" s="27"/>
      <c r="G187" s="26" t="s">
        <v>661</v>
      </c>
      <c r="H187" s="28"/>
      <c r="I187" s="28"/>
      <c r="J187" s="28"/>
      <c r="K187" s="27"/>
      <c r="L187" s="41"/>
      <c r="N187" s="43"/>
    </row>
    <row r="188" spans="1:14" x14ac:dyDescent="0.25">
      <c r="B188" s="40"/>
      <c r="C188" s="40" t="s">
        <v>659</v>
      </c>
      <c r="D188" s="43"/>
      <c r="E188" s="43"/>
      <c r="F188" s="41"/>
      <c r="G188" s="40" t="s">
        <v>662</v>
      </c>
      <c r="H188" s="43"/>
      <c r="I188" s="43"/>
      <c r="J188" s="43"/>
      <c r="K188" s="41"/>
      <c r="L188" s="41"/>
      <c r="N188" s="43"/>
    </row>
    <row r="189" spans="1:14" x14ac:dyDescent="0.25">
      <c r="B189" s="40"/>
      <c r="C189" s="40"/>
      <c r="D189" s="43"/>
      <c r="E189" s="43"/>
      <c r="F189" s="41"/>
      <c r="G189" s="40" t="s">
        <v>660</v>
      </c>
      <c r="H189" s="43"/>
      <c r="I189" s="43"/>
      <c r="J189" s="43"/>
      <c r="K189" s="41"/>
      <c r="L189" s="41"/>
      <c r="N189" s="43"/>
    </row>
    <row r="190" spans="1:14" x14ac:dyDescent="0.25">
      <c r="A190" s="43"/>
      <c r="B190" s="40"/>
      <c r="C190" s="72"/>
      <c r="D190" s="65"/>
      <c r="E190" s="65"/>
      <c r="F190" s="73"/>
      <c r="G190" s="72"/>
      <c r="H190" s="65"/>
      <c r="I190" s="65"/>
      <c r="J190" s="65"/>
      <c r="K190" s="73"/>
      <c r="L190" s="41"/>
      <c r="N190" s="43"/>
    </row>
    <row r="191" spans="1:14" x14ac:dyDescent="0.25">
      <c r="B191" s="40"/>
      <c r="C191" s="40" t="s">
        <v>667</v>
      </c>
      <c r="D191" s="28"/>
      <c r="E191" s="28"/>
      <c r="F191" s="27"/>
      <c r="G191" s="26" t="s">
        <v>661</v>
      </c>
      <c r="H191" s="28"/>
      <c r="I191" s="28"/>
      <c r="J191" s="28"/>
      <c r="K191" s="27"/>
      <c r="L191" s="41"/>
      <c r="N191" s="43"/>
    </row>
    <row r="192" spans="1:14" x14ac:dyDescent="0.25">
      <c r="B192" s="40"/>
      <c r="C192" s="40" t="s">
        <v>659</v>
      </c>
      <c r="D192" s="43"/>
      <c r="E192" s="43"/>
      <c r="F192" s="41"/>
      <c r="G192" s="40" t="s">
        <v>662</v>
      </c>
      <c r="H192" s="43"/>
      <c r="I192" s="43"/>
      <c r="J192" s="43"/>
      <c r="K192" s="41"/>
      <c r="L192" s="41"/>
      <c r="N192" s="43"/>
    </row>
    <row r="193" spans="1:14" x14ac:dyDescent="0.25">
      <c r="B193" s="40"/>
      <c r="C193" s="40"/>
      <c r="D193" s="43"/>
      <c r="E193" s="43"/>
      <c r="F193" s="41"/>
      <c r="G193" s="40" t="s">
        <v>660</v>
      </c>
      <c r="H193" s="43"/>
      <c r="I193" s="43"/>
      <c r="J193" s="43"/>
      <c r="K193" s="41"/>
      <c r="L193" s="41"/>
      <c r="N193" s="43"/>
    </row>
    <row r="194" spans="1:14" x14ac:dyDescent="0.25">
      <c r="B194" s="40"/>
      <c r="C194" s="72"/>
      <c r="D194" s="65"/>
      <c r="E194" s="65"/>
      <c r="F194" s="73"/>
      <c r="G194" s="72"/>
      <c r="H194" s="65"/>
      <c r="I194" s="65"/>
      <c r="J194" s="65"/>
      <c r="K194" s="73"/>
      <c r="L194" s="41"/>
      <c r="N194" s="43"/>
    </row>
    <row r="195" spans="1:14" x14ac:dyDescent="0.25">
      <c r="B195" s="40"/>
      <c r="C195" s="40" t="s">
        <v>668</v>
      </c>
      <c r="D195" s="28"/>
      <c r="E195" s="28"/>
      <c r="F195" s="27"/>
      <c r="G195" s="26" t="s">
        <v>661</v>
      </c>
      <c r="H195" s="28"/>
      <c r="I195" s="28"/>
      <c r="J195" s="28"/>
      <c r="K195" s="27"/>
      <c r="L195" s="41"/>
      <c r="N195" s="43"/>
    </row>
    <row r="196" spans="1:14" x14ac:dyDescent="0.25">
      <c r="B196" s="40"/>
      <c r="C196" s="40" t="s">
        <v>659</v>
      </c>
      <c r="D196" s="43"/>
      <c r="E196" s="43"/>
      <c r="F196" s="41"/>
      <c r="G196" s="40" t="s">
        <v>662</v>
      </c>
      <c r="H196" s="43"/>
      <c r="I196" s="43"/>
      <c r="J196" s="43"/>
      <c r="K196" s="41"/>
      <c r="L196" s="41"/>
      <c r="N196" s="43"/>
    </row>
    <row r="197" spans="1:14" x14ac:dyDescent="0.25">
      <c r="B197" s="40"/>
      <c r="C197" s="40"/>
      <c r="D197" s="43"/>
      <c r="E197" s="43"/>
      <c r="F197" s="41"/>
      <c r="G197" s="40" t="s">
        <v>660</v>
      </c>
      <c r="H197" s="43"/>
      <c r="I197" s="43"/>
      <c r="J197" s="43"/>
      <c r="K197" s="41"/>
      <c r="L197" s="41"/>
      <c r="N197" s="43"/>
    </row>
    <row r="198" spans="1:14" x14ac:dyDescent="0.25">
      <c r="B198" s="40"/>
      <c r="C198" s="72"/>
      <c r="D198" s="65"/>
      <c r="E198" s="65"/>
      <c r="F198" s="73"/>
      <c r="G198" s="72"/>
      <c r="H198" s="65"/>
      <c r="I198" s="65"/>
      <c r="J198" s="65"/>
      <c r="K198" s="73"/>
      <c r="L198" s="41"/>
      <c r="N198" s="43"/>
    </row>
    <row r="199" spans="1:14" x14ac:dyDescent="0.25">
      <c r="B199" s="40"/>
      <c r="C199" s="40" t="s">
        <v>669</v>
      </c>
      <c r="D199" s="28"/>
      <c r="E199" s="28"/>
      <c r="F199" s="27"/>
      <c r="G199" s="26" t="s">
        <v>661</v>
      </c>
      <c r="H199" s="28"/>
      <c r="I199" s="28"/>
      <c r="J199" s="28"/>
      <c r="K199" s="27"/>
      <c r="L199" s="41"/>
      <c r="N199" s="43"/>
    </row>
    <row r="200" spans="1:14" x14ac:dyDescent="0.25">
      <c r="B200" s="40"/>
      <c r="C200" s="40" t="s">
        <v>659</v>
      </c>
      <c r="D200" s="43"/>
      <c r="E200" s="43"/>
      <c r="F200" s="41"/>
      <c r="G200" s="40" t="s">
        <v>662</v>
      </c>
      <c r="H200" s="43"/>
      <c r="I200" s="43"/>
      <c r="J200" s="43"/>
      <c r="K200" s="41"/>
      <c r="L200" s="41"/>
      <c r="N200" s="43"/>
    </row>
    <row r="201" spans="1:14" x14ac:dyDescent="0.25">
      <c r="B201" s="40"/>
      <c r="C201" s="40"/>
      <c r="D201" s="43"/>
      <c r="E201" s="43"/>
      <c r="F201" s="41"/>
      <c r="G201" s="40" t="s">
        <v>660</v>
      </c>
      <c r="H201" s="43"/>
      <c r="I201" s="43"/>
      <c r="J201" s="43"/>
      <c r="K201" s="41"/>
      <c r="L201" s="41"/>
      <c r="N201" s="43"/>
    </row>
    <row r="202" spans="1:14" x14ac:dyDescent="0.25">
      <c r="B202" s="40"/>
      <c r="C202" s="72"/>
      <c r="D202" s="65"/>
      <c r="E202" s="65"/>
      <c r="F202" s="73"/>
      <c r="G202" s="72"/>
      <c r="H202" s="65"/>
      <c r="I202" s="65"/>
      <c r="J202" s="65"/>
      <c r="K202" s="73"/>
      <c r="L202" s="41"/>
      <c r="N202" s="43"/>
    </row>
    <row r="203" spans="1:14" x14ac:dyDescent="0.25">
      <c r="B203" s="40"/>
      <c r="C203" s="40" t="s">
        <v>670</v>
      </c>
      <c r="D203" s="28"/>
      <c r="E203" s="28"/>
      <c r="F203" s="27"/>
      <c r="G203" s="26" t="s">
        <v>661</v>
      </c>
      <c r="H203" s="28"/>
      <c r="I203" s="28"/>
      <c r="J203" s="28"/>
      <c r="K203" s="27"/>
      <c r="L203" s="41"/>
      <c r="N203" s="43"/>
    </row>
    <row r="204" spans="1:14" x14ac:dyDescent="0.25">
      <c r="B204" s="40"/>
      <c r="C204" s="40" t="s">
        <v>659</v>
      </c>
      <c r="D204" s="43"/>
      <c r="E204" s="43"/>
      <c r="F204" s="41"/>
      <c r="G204" s="40" t="s">
        <v>662</v>
      </c>
      <c r="H204" s="43"/>
      <c r="I204" s="43"/>
      <c r="J204" s="43"/>
      <c r="K204" s="41"/>
      <c r="L204" s="41"/>
      <c r="N204" s="43"/>
    </row>
    <row r="205" spans="1:14" x14ac:dyDescent="0.25">
      <c r="B205" s="40"/>
      <c r="C205" s="40"/>
      <c r="D205" s="43"/>
      <c r="E205" s="43"/>
      <c r="F205" s="41"/>
      <c r="G205" s="40" t="s">
        <v>660</v>
      </c>
      <c r="H205" s="43"/>
      <c r="I205" s="43"/>
      <c r="J205" s="43"/>
      <c r="K205" s="41"/>
      <c r="L205" s="41"/>
      <c r="N205" s="43"/>
    </row>
    <row r="206" spans="1:14" x14ac:dyDescent="0.25">
      <c r="B206" s="40"/>
      <c r="C206" s="72"/>
      <c r="D206" s="65"/>
      <c r="E206" s="65"/>
      <c r="F206" s="73"/>
      <c r="G206" s="72"/>
      <c r="H206" s="65"/>
      <c r="I206" s="65"/>
      <c r="J206" s="65"/>
      <c r="K206" s="73"/>
      <c r="L206" s="41"/>
      <c r="N206" s="43"/>
    </row>
    <row r="207" spans="1:14" x14ac:dyDescent="0.25">
      <c r="A207" s="43"/>
      <c r="B207" s="40"/>
      <c r="C207" s="40" t="s">
        <v>671</v>
      </c>
      <c r="D207" s="28"/>
      <c r="E207" s="28"/>
      <c r="F207" s="27"/>
      <c r="G207" s="26" t="s">
        <v>661</v>
      </c>
      <c r="H207" s="28"/>
      <c r="I207" s="28"/>
      <c r="J207" s="28"/>
      <c r="K207" s="27"/>
      <c r="L207" s="41"/>
      <c r="N207" s="43"/>
    </row>
    <row r="208" spans="1:14" x14ac:dyDescent="0.25">
      <c r="A208" s="43"/>
      <c r="B208" s="40"/>
      <c r="C208" s="40" t="s">
        <v>659</v>
      </c>
      <c r="D208" s="43"/>
      <c r="E208" s="43"/>
      <c r="F208" s="41"/>
      <c r="G208" s="40" t="s">
        <v>662</v>
      </c>
      <c r="H208" s="43"/>
      <c r="I208" s="43"/>
      <c r="J208" s="43"/>
      <c r="K208" s="41"/>
      <c r="L208" s="41"/>
      <c r="N208" s="43"/>
    </row>
    <row r="209" spans="2:14" x14ac:dyDescent="0.25">
      <c r="B209" s="40"/>
      <c r="C209" s="40"/>
      <c r="D209" s="43"/>
      <c r="E209" s="43"/>
      <c r="F209" s="41"/>
      <c r="G209" s="40" t="s">
        <v>660</v>
      </c>
      <c r="H209" s="43"/>
      <c r="I209" s="43"/>
      <c r="J209" s="43"/>
      <c r="K209" s="41"/>
      <c r="L209" s="41"/>
      <c r="N209" s="43"/>
    </row>
    <row r="210" spans="2:14" x14ac:dyDescent="0.25">
      <c r="B210" s="40"/>
      <c r="C210" s="72"/>
      <c r="D210" s="65"/>
      <c r="E210" s="65"/>
      <c r="F210" s="73"/>
      <c r="G210" s="72"/>
      <c r="H210" s="65"/>
      <c r="I210" s="65"/>
      <c r="J210" s="65"/>
      <c r="K210" s="73"/>
      <c r="L210" s="41"/>
      <c r="N210" s="43"/>
    </row>
    <row r="211" spans="2:14" x14ac:dyDescent="0.25">
      <c r="B211" s="40"/>
      <c r="C211" s="40" t="s">
        <v>672</v>
      </c>
      <c r="D211" s="28"/>
      <c r="E211" s="28"/>
      <c r="F211" s="27"/>
      <c r="G211" s="26" t="s">
        <v>661</v>
      </c>
      <c r="H211" s="28"/>
      <c r="I211" s="28"/>
      <c r="J211" s="28"/>
      <c r="K211" s="27"/>
      <c r="L211" s="41"/>
      <c r="N211" s="43"/>
    </row>
    <row r="212" spans="2:14" x14ac:dyDescent="0.25">
      <c r="B212" s="40"/>
      <c r="C212" s="40" t="s">
        <v>659</v>
      </c>
      <c r="D212" s="43"/>
      <c r="E212" s="43"/>
      <c r="F212" s="41"/>
      <c r="G212" s="40" t="s">
        <v>662</v>
      </c>
      <c r="H212" s="43"/>
      <c r="I212" s="43"/>
      <c r="J212" s="43"/>
      <c r="K212" s="41"/>
      <c r="L212" s="41"/>
      <c r="N212" s="43"/>
    </row>
    <row r="213" spans="2:14" x14ac:dyDescent="0.25">
      <c r="B213" s="40"/>
      <c r="C213" s="40"/>
      <c r="D213" s="43"/>
      <c r="E213" s="43"/>
      <c r="F213" s="41"/>
      <c r="G213" s="40" t="s">
        <v>660</v>
      </c>
      <c r="H213" s="43"/>
      <c r="I213" s="43"/>
      <c r="J213" s="43"/>
      <c r="K213" s="41"/>
      <c r="L213" s="41"/>
      <c r="N213" s="43"/>
    </row>
    <row r="214" spans="2:14" x14ac:dyDescent="0.25">
      <c r="B214" s="40"/>
      <c r="C214" s="72"/>
      <c r="D214" s="65"/>
      <c r="E214" s="65"/>
      <c r="F214" s="73"/>
      <c r="G214" s="72"/>
      <c r="H214" s="65"/>
      <c r="I214" s="65"/>
      <c r="J214" s="65"/>
      <c r="K214" s="73"/>
      <c r="L214" s="41"/>
      <c r="N214" s="43"/>
    </row>
    <row r="215" spans="2:14" x14ac:dyDescent="0.25">
      <c r="B215" s="40"/>
      <c r="C215" s="40" t="s">
        <v>673</v>
      </c>
      <c r="D215" s="28"/>
      <c r="E215" s="28"/>
      <c r="F215" s="27"/>
      <c r="G215" s="26" t="s">
        <v>661</v>
      </c>
      <c r="H215" s="28"/>
      <c r="I215" s="28"/>
      <c r="J215" s="28"/>
      <c r="K215" s="27"/>
      <c r="L215" s="41"/>
      <c r="N215" s="43"/>
    </row>
    <row r="216" spans="2:14" x14ac:dyDescent="0.25">
      <c r="B216" s="40"/>
      <c r="C216" s="40" t="s">
        <v>659</v>
      </c>
      <c r="D216" s="43"/>
      <c r="E216" s="43"/>
      <c r="F216" s="41"/>
      <c r="G216" s="40" t="s">
        <v>662</v>
      </c>
      <c r="H216" s="43"/>
      <c r="I216" s="43"/>
      <c r="J216" s="43"/>
      <c r="K216" s="41"/>
      <c r="L216" s="41"/>
      <c r="N216" s="43"/>
    </row>
    <row r="217" spans="2:14" x14ac:dyDescent="0.25">
      <c r="B217" s="40"/>
      <c r="C217" s="40"/>
      <c r="D217" s="43"/>
      <c r="E217" s="43"/>
      <c r="F217" s="41"/>
      <c r="G217" s="40" t="s">
        <v>660</v>
      </c>
      <c r="H217" s="43"/>
      <c r="I217" s="43"/>
      <c r="J217" s="43"/>
      <c r="K217" s="41"/>
      <c r="L217" s="41"/>
      <c r="N217" s="43"/>
    </row>
    <row r="218" spans="2:14" x14ac:dyDescent="0.25">
      <c r="B218" s="40"/>
      <c r="C218" s="72"/>
      <c r="D218" s="65"/>
      <c r="E218" s="65"/>
      <c r="F218" s="73"/>
      <c r="G218" s="72"/>
      <c r="H218" s="65"/>
      <c r="I218" s="65"/>
      <c r="J218" s="65"/>
      <c r="K218" s="73"/>
      <c r="L218" s="41"/>
      <c r="N218" s="43"/>
    </row>
    <row r="219" spans="2:14" x14ac:dyDescent="0.25">
      <c r="B219" s="40"/>
      <c r="C219" s="40" t="s">
        <v>674</v>
      </c>
      <c r="D219" s="28"/>
      <c r="E219" s="28"/>
      <c r="F219" s="27"/>
      <c r="G219" s="26" t="s">
        <v>661</v>
      </c>
      <c r="H219" s="28"/>
      <c r="I219" s="28"/>
      <c r="J219" s="28"/>
      <c r="K219" s="27"/>
      <c r="L219" s="41"/>
      <c r="N219" s="43"/>
    </row>
    <row r="220" spans="2:14" x14ac:dyDescent="0.25">
      <c r="B220" s="40"/>
      <c r="C220" s="40" t="s">
        <v>659</v>
      </c>
      <c r="D220" s="43"/>
      <c r="E220" s="43"/>
      <c r="F220" s="41"/>
      <c r="G220" s="40" t="s">
        <v>662</v>
      </c>
      <c r="H220" s="43"/>
      <c r="I220" s="43"/>
      <c r="J220" s="43"/>
      <c r="K220" s="41"/>
      <c r="L220" s="41"/>
      <c r="N220" s="43"/>
    </row>
    <row r="221" spans="2:14" x14ac:dyDescent="0.25">
      <c r="B221" s="40"/>
      <c r="C221" s="40"/>
      <c r="D221" s="43"/>
      <c r="E221" s="43"/>
      <c r="F221" s="41"/>
      <c r="G221" s="40" t="s">
        <v>660</v>
      </c>
      <c r="H221" s="43"/>
      <c r="I221" s="43"/>
      <c r="J221" s="43"/>
      <c r="K221" s="41"/>
      <c r="L221" s="41"/>
      <c r="N221" s="43"/>
    </row>
    <row r="222" spans="2:14" x14ac:dyDescent="0.25">
      <c r="B222" s="40"/>
      <c r="C222" s="72"/>
      <c r="D222" s="65"/>
      <c r="E222" s="65"/>
      <c r="F222" s="73"/>
      <c r="G222" s="72"/>
      <c r="H222" s="65"/>
      <c r="I222" s="65"/>
      <c r="J222" s="65"/>
      <c r="K222" s="73"/>
      <c r="L222" s="41"/>
      <c r="N222" s="43"/>
    </row>
    <row r="223" spans="2:14" x14ac:dyDescent="0.25">
      <c r="B223" s="40"/>
      <c r="C223" s="40" t="s">
        <v>619</v>
      </c>
      <c r="D223" s="43"/>
      <c r="E223" s="43"/>
      <c r="F223" s="41"/>
      <c r="G223" s="26" t="s">
        <v>661</v>
      </c>
      <c r="H223" s="28"/>
      <c r="I223" s="28"/>
      <c r="J223" s="28"/>
      <c r="K223" s="27"/>
      <c r="L223" s="41"/>
      <c r="N223" s="43"/>
    </row>
    <row r="224" spans="2:14" x14ac:dyDescent="0.25">
      <c r="B224" s="40"/>
      <c r="C224" s="40" t="s">
        <v>659</v>
      </c>
      <c r="D224" s="43"/>
      <c r="E224" s="43"/>
      <c r="F224" s="41"/>
      <c r="G224" s="40" t="s">
        <v>662</v>
      </c>
      <c r="H224" s="43"/>
      <c r="I224" s="43"/>
      <c r="J224" s="43"/>
      <c r="K224" s="41"/>
      <c r="L224" s="41"/>
      <c r="N224" s="43"/>
    </row>
    <row r="225" spans="2:14" x14ac:dyDescent="0.25">
      <c r="B225" s="40"/>
      <c r="C225" s="40"/>
      <c r="D225" s="43"/>
      <c r="E225" s="43"/>
      <c r="F225" s="41"/>
      <c r="G225" s="40" t="s">
        <v>660</v>
      </c>
      <c r="H225" s="43"/>
      <c r="I225" s="43"/>
      <c r="J225" s="43"/>
      <c r="K225" s="41"/>
      <c r="L225" s="41"/>
      <c r="N225" s="43"/>
    </row>
    <row r="226" spans="2:14" x14ac:dyDescent="0.25">
      <c r="B226" s="40"/>
      <c r="C226" s="72"/>
      <c r="D226" s="65"/>
      <c r="E226" s="65"/>
      <c r="F226" s="73"/>
      <c r="G226" s="72"/>
      <c r="H226" s="65"/>
      <c r="I226" s="65"/>
      <c r="J226" s="65"/>
      <c r="K226" s="73"/>
      <c r="L226" s="41"/>
      <c r="N226" s="43"/>
    </row>
    <row r="227" spans="2:14" x14ac:dyDescent="0.25">
      <c r="B227" s="40"/>
      <c r="C227" s="26" t="s">
        <v>620</v>
      </c>
      <c r="D227" s="28"/>
      <c r="E227" s="28"/>
      <c r="F227" s="27"/>
      <c r="G227" s="26" t="s">
        <v>661</v>
      </c>
      <c r="H227" s="28"/>
      <c r="I227" s="28"/>
      <c r="J227" s="28"/>
      <c r="K227" s="27"/>
      <c r="L227" s="41"/>
    </row>
    <row r="228" spans="2:14" x14ac:dyDescent="0.25">
      <c r="B228" s="40"/>
      <c r="C228" s="40"/>
      <c r="D228" s="43"/>
      <c r="E228" s="43"/>
      <c r="F228" s="41"/>
      <c r="G228" s="40" t="s">
        <v>662</v>
      </c>
      <c r="H228" s="43"/>
      <c r="I228" s="43"/>
      <c r="J228" s="43"/>
      <c r="K228" s="41"/>
      <c r="L228" s="41"/>
    </row>
    <row r="229" spans="2:14" x14ac:dyDescent="0.25">
      <c r="B229" s="40"/>
      <c r="C229" s="72"/>
      <c r="D229" s="65"/>
      <c r="E229" s="65"/>
      <c r="F229" s="73"/>
      <c r="G229" s="72"/>
      <c r="H229" s="65"/>
      <c r="I229" s="65"/>
      <c r="J229" s="65"/>
      <c r="K229" s="73"/>
      <c r="L229" s="41"/>
    </row>
    <row r="230" spans="2:14" x14ac:dyDescent="0.25">
      <c r="B230" s="40"/>
      <c r="D230" s="43"/>
      <c r="E230" s="43"/>
      <c r="F230" s="43"/>
      <c r="G230" s="43"/>
      <c r="H230" s="43"/>
      <c r="I230" s="43"/>
      <c r="J230" s="43"/>
      <c r="K230" s="43"/>
      <c r="L230" s="41"/>
    </row>
    <row r="231" spans="2:14" x14ac:dyDescent="0.25">
      <c r="B231" s="40"/>
      <c r="C231" s="1" t="s">
        <v>817</v>
      </c>
      <c r="D231" s="43"/>
      <c r="E231" s="43"/>
      <c r="F231" s="43"/>
      <c r="G231" s="43"/>
      <c r="H231" s="43"/>
      <c r="I231" s="43"/>
      <c r="J231" s="43"/>
      <c r="K231" s="43"/>
      <c r="L231" s="41"/>
    </row>
    <row r="232" spans="2:14" x14ac:dyDescent="0.25">
      <c r="B232" s="40"/>
      <c r="D232" s="43"/>
      <c r="E232" s="43"/>
      <c r="F232" s="43"/>
      <c r="G232" s="43"/>
      <c r="H232" s="43"/>
      <c r="I232" s="43"/>
      <c r="J232" s="43"/>
      <c r="K232" s="43"/>
      <c r="L232" s="41"/>
    </row>
    <row r="233" spans="2:14" x14ac:dyDescent="0.25">
      <c r="B233" s="40"/>
      <c r="C233" s="26" t="s">
        <v>611</v>
      </c>
      <c r="D233" s="28"/>
      <c r="E233" s="28"/>
      <c r="F233" s="28"/>
      <c r="G233" s="28"/>
      <c r="H233" s="28"/>
      <c r="I233" s="28"/>
      <c r="J233" s="28"/>
      <c r="K233" s="27"/>
      <c r="L233" s="41"/>
    </row>
    <row r="234" spans="2:14" x14ac:dyDescent="0.25">
      <c r="B234" s="40"/>
      <c r="C234" s="40"/>
      <c r="D234" s="43"/>
      <c r="E234" s="43"/>
      <c r="F234" s="43"/>
      <c r="G234" s="43"/>
      <c r="H234" s="43"/>
      <c r="I234" s="43"/>
      <c r="J234" s="43"/>
      <c r="K234" s="41"/>
      <c r="L234" s="41"/>
    </row>
    <row r="235" spans="2:14" x14ac:dyDescent="0.25">
      <c r="B235" s="40"/>
      <c r="C235" s="40" t="s">
        <v>682</v>
      </c>
      <c r="D235" s="43"/>
      <c r="E235" s="43"/>
      <c r="F235" s="43"/>
      <c r="G235" s="43"/>
      <c r="H235" s="43"/>
      <c r="I235" s="43"/>
      <c r="J235" s="43"/>
      <c r="K235" s="41"/>
      <c r="L235" s="41"/>
    </row>
    <row r="236" spans="2:14" x14ac:dyDescent="0.25">
      <c r="B236" s="40"/>
      <c r="C236" s="40" t="s">
        <v>683</v>
      </c>
      <c r="D236" s="43"/>
      <c r="E236" s="43"/>
      <c r="F236" s="43"/>
      <c r="G236" s="43"/>
      <c r="H236" s="43"/>
      <c r="I236" s="43"/>
      <c r="J236" s="43"/>
      <c r="K236" s="41"/>
      <c r="L236" s="41"/>
    </row>
    <row r="237" spans="2:14" x14ac:dyDescent="0.25">
      <c r="B237" s="40"/>
      <c r="C237" s="40" t="s">
        <v>818</v>
      </c>
      <c r="D237" s="43"/>
      <c r="E237" s="43"/>
      <c r="F237" s="43"/>
      <c r="G237" s="43"/>
      <c r="H237" s="43"/>
      <c r="I237" s="43"/>
      <c r="J237" s="43"/>
      <c r="K237" s="41"/>
      <c r="L237" s="41"/>
    </row>
    <row r="238" spans="2:14" x14ac:dyDescent="0.25">
      <c r="B238" s="40"/>
      <c r="C238" s="40"/>
      <c r="D238" s="43"/>
      <c r="E238" s="43"/>
      <c r="F238" s="43"/>
      <c r="G238" s="43"/>
      <c r="H238" s="43"/>
      <c r="I238" s="382" t="s">
        <v>103</v>
      </c>
      <c r="J238" s="382" t="s">
        <v>103</v>
      </c>
      <c r="K238" s="41"/>
      <c r="L238" s="41"/>
    </row>
    <row r="239" spans="2:14" x14ac:dyDescent="0.25">
      <c r="B239" s="40"/>
      <c r="C239" s="380" t="s">
        <v>103</v>
      </c>
      <c r="E239" s="381" t="s">
        <v>699</v>
      </c>
      <c r="F239" s="43"/>
      <c r="G239" s="43"/>
      <c r="H239" s="43"/>
      <c r="I239" s="383" t="s">
        <v>694</v>
      </c>
      <c r="J239" s="383" t="s">
        <v>689</v>
      </c>
      <c r="K239" s="41"/>
      <c r="L239" s="41"/>
    </row>
    <row r="240" spans="2:14" x14ac:dyDescent="0.25">
      <c r="B240" s="40"/>
      <c r="C240" s="40" t="s">
        <v>141</v>
      </c>
      <c r="E240" s="43" t="s">
        <v>698</v>
      </c>
      <c r="F240" s="43"/>
      <c r="G240" s="43"/>
      <c r="H240" s="43"/>
      <c r="I240" s="382"/>
      <c r="J240" s="382" t="s">
        <v>688</v>
      </c>
      <c r="K240" s="41"/>
      <c r="L240" s="41"/>
    </row>
    <row r="241" spans="2:12" x14ac:dyDescent="0.25">
      <c r="B241" s="40"/>
      <c r="C241" s="40" t="s">
        <v>684</v>
      </c>
      <c r="E241" s="43" t="s">
        <v>697</v>
      </c>
      <c r="F241" s="43"/>
      <c r="G241" s="43"/>
      <c r="H241" s="43"/>
      <c r="I241" s="382"/>
      <c r="J241" s="384" t="s">
        <v>690</v>
      </c>
      <c r="K241" s="41"/>
      <c r="L241" s="41"/>
    </row>
    <row r="242" spans="2:12" x14ac:dyDescent="0.25">
      <c r="B242" s="40"/>
      <c r="C242" s="40" t="s">
        <v>685</v>
      </c>
      <c r="E242" s="43" t="s">
        <v>696</v>
      </c>
      <c r="F242" s="43"/>
      <c r="G242" s="43"/>
      <c r="H242" s="43"/>
      <c r="I242" s="382"/>
      <c r="J242" s="384" t="s">
        <v>691</v>
      </c>
      <c r="K242" s="41"/>
      <c r="L242" s="41"/>
    </row>
    <row r="243" spans="2:12" x14ac:dyDescent="0.25">
      <c r="B243" s="40"/>
      <c r="C243" s="40" t="s">
        <v>686</v>
      </c>
      <c r="E243" s="43" t="s">
        <v>695</v>
      </c>
      <c r="F243" s="43"/>
      <c r="G243" s="43"/>
      <c r="H243" s="43"/>
      <c r="I243" s="382"/>
      <c r="J243" s="384" t="s">
        <v>692</v>
      </c>
      <c r="K243" s="41"/>
      <c r="L243" s="41"/>
    </row>
    <row r="244" spans="2:12" x14ac:dyDescent="0.25">
      <c r="B244" s="40"/>
      <c r="C244" s="40" t="s">
        <v>687</v>
      </c>
      <c r="E244" s="43" t="s">
        <v>819</v>
      </c>
      <c r="F244" s="43"/>
      <c r="G244" s="43"/>
      <c r="H244" s="43"/>
      <c r="I244" s="382"/>
      <c r="J244" s="384" t="s">
        <v>693</v>
      </c>
      <c r="K244" s="41"/>
      <c r="L244" s="41"/>
    </row>
    <row r="245" spans="2:12" x14ac:dyDescent="0.25">
      <c r="B245" s="40"/>
      <c r="C245" s="40"/>
      <c r="D245" s="43"/>
      <c r="E245" s="43"/>
      <c r="F245" s="43"/>
      <c r="G245" s="43"/>
      <c r="H245" s="43"/>
      <c r="I245" s="43"/>
      <c r="J245" s="43"/>
      <c r="K245" s="41"/>
      <c r="L245" s="41"/>
    </row>
    <row r="246" spans="2:12" x14ac:dyDescent="0.25">
      <c r="B246" s="40"/>
      <c r="C246" s="40"/>
      <c r="D246" s="43"/>
      <c r="E246" s="43"/>
      <c r="F246" s="43"/>
      <c r="G246" s="43"/>
      <c r="H246" s="43"/>
      <c r="I246" s="43"/>
      <c r="J246" s="43"/>
      <c r="K246" s="41"/>
      <c r="L246" s="41"/>
    </row>
    <row r="247" spans="2:12" x14ac:dyDescent="0.25">
      <c r="B247" s="40"/>
      <c r="C247" s="26" t="s">
        <v>612</v>
      </c>
      <c r="D247" s="28"/>
      <c r="E247" s="28"/>
      <c r="F247" s="28"/>
      <c r="G247" s="28"/>
      <c r="H247" s="28"/>
      <c r="I247" s="28"/>
      <c r="J247" s="28"/>
      <c r="K247" s="27"/>
      <c r="L247" s="41"/>
    </row>
    <row r="248" spans="2:12" x14ac:dyDescent="0.25">
      <c r="B248" s="40"/>
      <c r="C248" s="40"/>
      <c r="D248" s="43"/>
      <c r="E248" s="43"/>
      <c r="F248" s="43"/>
      <c r="G248" s="43"/>
      <c r="H248" s="43"/>
      <c r="I248" s="43"/>
      <c r="J248" s="43"/>
      <c r="K248" s="41"/>
      <c r="L248" s="41"/>
    </row>
    <row r="249" spans="2:12" x14ac:dyDescent="0.25">
      <c r="B249" s="40"/>
      <c r="C249" s="40" t="s">
        <v>700</v>
      </c>
      <c r="D249" s="43"/>
      <c r="E249" s="43"/>
      <c r="F249" s="43"/>
      <c r="G249" s="43"/>
      <c r="H249" s="43"/>
      <c r="I249" s="43"/>
      <c r="J249" s="43"/>
      <c r="K249" s="41"/>
      <c r="L249" s="41"/>
    </row>
    <row r="250" spans="2:12" x14ac:dyDescent="0.25">
      <c r="B250" s="40"/>
      <c r="C250" s="40" t="s">
        <v>683</v>
      </c>
      <c r="D250" s="43"/>
      <c r="E250" s="43"/>
      <c r="F250" s="43"/>
      <c r="G250" s="43"/>
      <c r="H250" s="43"/>
      <c r="I250" s="43"/>
      <c r="J250" s="43"/>
      <c r="K250" s="41"/>
      <c r="L250" s="41"/>
    </row>
    <row r="251" spans="2:12" x14ac:dyDescent="0.25">
      <c r="B251" s="40"/>
      <c r="C251" s="40" t="s">
        <v>818</v>
      </c>
      <c r="D251" s="43"/>
      <c r="E251" s="43"/>
      <c r="F251" s="43"/>
      <c r="G251" s="43"/>
      <c r="H251" s="43"/>
      <c r="I251" s="43"/>
      <c r="J251" s="43"/>
      <c r="K251" s="41"/>
      <c r="L251" s="41"/>
    </row>
    <row r="252" spans="2:12" x14ac:dyDescent="0.25">
      <c r="B252" s="40"/>
      <c r="C252" s="40"/>
      <c r="D252" s="43"/>
      <c r="E252" s="43"/>
      <c r="F252" s="43"/>
      <c r="G252" s="43"/>
      <c r="H252" s="43"/>
      <c r="I252" s="43"/>
      <c r="J252" s="43" t="s">
        <v>501</v>
      </c>
      <c r="K252" s="41"/>
      <c r="L252" s="41"/>
    </row>
    <row r="253" spans="2:12" x14ac:dyDescent="0.25">
      <c r="B253" s="40"/>
      <c r="C253" s="380" t="s">
        <v>102</v>
      </c>
      <c r="D253" s="43"/>
      <c r="E253" s="381" t="s">
        <v>699</v>
      </c>
      <c r="F253" s="43"/>
      <c r="G253" s="43"/>
      <c r="H253" s="43"/>
      <c r="I253" s="43"/>
      <c r="J253" s="381" t="s">
        <v>820</v>
      </c>
      <c r="K253" s="41"/>
      <c r="L253" s="41"/>
    </row>
    <row r="254" spans="2:12" x14ac:dyDescent="0.25">
      <c r="B254" s="40"/>
      <c r="C254" s="40" t="s">
        <v>146</v>
      </c>
      <c r="D254" s="43"/>
      <c r="E254" s="43" t="s">
        <v>706</v>
      </c>
      <c r="F254" s="43"/>
      <c r="G254" s="43"/>
      <c r="H254" s="43"/>
      <c r="I254" s="43"/>
      <c r="J254" s="43" t="s">
        <v>701</v>
      </c>
      <c r="K254" s="41"/>
      <c r="L254" s="41"/>
    </row>
    <row r="255" spans="2:12" x14ac:dyDescent="0.25">
      <c r="B255" s="40"/>
      <c r="C255" s="40" t="s">
        <v>147</v>
      </c>
      <c r="D255" s="43"/>
      <c r="E255" s="43" t="s">
        <v>707</v>
      </c>
      <c r="F255" s="43"/>
      <c r="G255" s="43"/>
      <c r="H255" s="43"/>
      <c r="I255" s="43"/>
      <c r="J255" s="379" t="s">
        <v>702</v>
      </c>
      <c r="K255" s="41"/>
      <c r="L255" s="41"/>
    </row>
    <row r="256" spans="2:12" x14ac:dyDescent="0.25">
      <c r="B256" s="40"/>
      <c r="C256" s="40" t="s">
        <v>148</v>
      </c>
      <c r="D256" s="43"/>
      <c r="E256" s="43" t="s">
        <v>708</v>
      </c>
      <c r="F256" s="43"/>
      <c r="G256" s="43"/>
      <c r="H256" s="43"/>
      <c r="I256" s="43"/>
      <c r="J256" s="379" t="s">
        <v>703</v>
      </c>
      <c r="K256" s="41"/>
      <c r="L256" s="41"/>
    </row>
    <row r="257" spans="2:12" x14ac:dyDescent="0.25">
      <c r="B257" s="40"/>
      <c r="C257" s="40" t="s">
        <v>149</v>
      </c>
      <c r="D257" s="43"/>
      <c r="E257" s="43" t="s">
        <v>709</v>
      </c>
      <c r="F257" s="43"/>
      <c r="G257" s="43"/>
      <c r="H257" s="43"/>
      <c r="I257" s="43"/>
      <c r="J257" s="379" t="s">
        <v>704</v>
      </c>
      <c r="K257" s="41"/>
      <c r="L257" s="41"/>
    </row>
    <row r="258" spans="2:12" x14ac:dyDescent="0.25">
      <c r="B258" s="40"/>
      <c r="C258" s="40" t="s">
        <v>150</v>
      </c>
      <c r="D258" s="43"/>
      <c r="E258" s="43" t="s">
        <v>710</v>
      </c>
      <c r="F258" s="43"/>
      <c r="G258" s="43"/>
      <c r="H258" s="43"/>
      <c r="I258" s="43"/>
      <c r="J258" s="43" t="s">
        <v>705</v>
      </c>
      <c r="K258" s="41"/>
      <c r="L258" s="41"/>
    </row>
    <row r="259" spans="2:12" x14ac:dyDescent="0.25">
      <c r="B259" s="40"/>
      <c r="C259" s="72"/>
      <c r="D259" s="65"/>
      <c r="E259" s="65"/>
      <c r="F259" s="65"/>
      <c r="G259" s="65"/>
      <c r="H259" s="65"/>
      <c r="I259" s="65"/>
      <c r="J259" s="65"/>
      <c r="K259" s="73"/>
      <c r="L259" s="41"/>
    </row>
    <row r="260" spans="2:12" x14ac:dyDescent="0.25">
      <c r="B260" s="40"/>
      <c r="C260" s="26" t="s">
        <v>496</v>
      </c>
      <c r="D260" s="28"/>
      <c r="E260" s="28"/>
      <c r="F260" s="28"/>
      <c r="G260" s="28"/>
      <c r="H260" s="28"/>
      <c r="I260" s="28"/>
      <c r="J260" s="28"/>
      <c r="K260" s="27"/>
      <c r="L260" s="41"/>
    </row>
    <row r="261" spans="2:12" x14ac:dyDescent="0.25">
      <c r="B261" s="40"/>
      <c r="C261" s="40"/>
      <c r="D261" s="43"/>
      <c r="E261" s="43"/>
      <c r="F261" s="43"/>
      <c r="G261" s="43"/>
      <c r="H261" s="43"/>
      <c r="I261" s="43"/>
      <c r="J261" s="43"/>
      <c r="K261" s="41"/>
      <c r="L261" s="41"/>
    </row>
    <row r="262" spans="2:12" x14ac:dyDescent="0.25">
      <c r="B262" s="40"/>
      <c r="C262" s="40" t="s">
        <v>717</v>
      </c>
      <c r="D262" s="43"/>
      <c r="E262" s="43"/>
      <c r="F262" s="43"/>
      <c r="G262" s="43"/>
      <c r="H262" s="43"/>
      <c r="I262" s="43"/>
      <c r="J262" s="43"/>
      <c r="K262" s="41"/>
      <c r="L262" s="41"/>
    </row>
    <row r="263" spans="2:12" x14ac:dyDescent="0.25">
      <c r="B263" s="40"/>
      <c r="C263" s="40" t="s">
        <v>718</v>
      </c>
      <c r="D263" s="43"/>
      <c r="E263" s="43"/>
      <c r="F263" s="43"/>
      <c r="G263" s="43"/>
      <c r="H263" s="43"/>
      <c r="I263" s="43"/>
      <c r="J263" s="43"/>
      <c r="K263" s="41"/>
      <c r="L263" s="41"/>
    </row>
    <row r="264" spans="2:12" x14ac:dyDescent="0.25">
      <c r="B264" s="40"/>
      <c r="C264" s="40" t="s">
        <v>720</v>
      </c>
      <c r="D264" s="43"/>
      <c r="E264" s="43"/>
      <c r="F264" s="43"/>
      <c r="G264" s="43"/>
      <c r="H264" s="43"/>
      <c r="I264" s="43"/>
      <c r="J264" s="43"/>
      <c r="K264" s="41"/>
      <c r="L264" s="41"/>
    </row>
    <row r="265" spans="2:12" x14ac:dyDescent="0.25">
      <c r="B265" s="40"/>
      <c r="C265" s="40" t="s">
        <v>719</v>
      </c>
      <c r="D265" s="43"/>
      <c r="E265" s="43"/>
      <c r="F265" s="43"/>
      <c r="G265" s="43"/>
      <c r="H265" s="43"/>
      <c r="I265" s="43"/>
      <c r="J265" s="43"/>
      <c r="K265" s="41"/>
      <c r="L265" s="41"/>
    </row>
    <row r="266" spans="2:12" x14ac:dyDescent="0.25">
      <c r="B266" s="40"/>
      <c r="C266" s="72"/>
      <c r="D266" s="65"/>
      <c r="E266" s="65"/>
      <c r="F266" s="65"/>
      <c r="G266" s="65"/>
      <c r="H266" s="65"/>
      <c r="I266" s="65"/>
      <c r="J266" s="65"/>
      <c r="K266" s="73"/>
      <c r="L266" s="41"/>
    </row>
    <row r="267" spans="2:12" x14ac:dyDescent="0.25">
      <c r="B267" s="40"/>
      <c r="C267" s="26" t="s">
        <v>616</v>
      </c>
      <c r="D267" s="28"/>
      <c r="E267" s="28"/>
      <c r="F267" s="28"/>
      <c r="G267" s="28"/>
      <c r="H267" s="28"/>
      <c r="I267" s="28"/>
      <c r="J267" s="28"/>
      <c r="K267" s="27"/>
      <c r="L267" s="41"/>
    </row>
    <row r="268" spans="2:12" x14ac:dyDescent="0.25">
      <c r="B268" s="40"/>
      <c r="C268" s="40"/>
      <c r="D268" s="43"/>
      <c r="E268" s="43"/>
      <c r="F268" s="43"/>
      <c r="G268" s="43"/>
      <c r="H268" s="43"/>
      <c r="I268" s="43"/>
      <c r="J268" s="43"/>
      <c r="K268" s="41"/>
      <c r="L268" s="41"/>
    </row>
    <row r="269" spans="2:12" x14ac:dyDescent="0.25">
      <c r="B269" s="40"/>
      <c r="C269" s="40" t="s">
        <v>714</v>
      </c>
      <c r="D269" s="43"/>
      <c r="E269" s="43"/>
      <c r="F269" s="43"/>
      <c r="G269" s="43"/>
      <c r="H269" s="43"/>
      <c r="I269" s="43"/>
      <c r="J269" s="43"/>
      <c r="K269" s="41"/>
      <c r="L269" s="41"/>
    </row>
    <row r="270" spans="2:12" x14ac:dyDescent="0.25">
      <c r="B270" s="40"/>
      <c r="C270" s="40" t="s">
        <v>711</v>
      </c>
      <c r="D270" s="43"/>
      <c r="E270" s="43"/>
      <c r="F270" s="43"/>
      <c r="G270" s="43"/>
      <c r="H270" s="43"/>
      <c r="I270" s="43"/>
      <c r="J270" s="43"/>
      <c r="K270" s="41"/>
      <c r="L270" s="41"/>
    </row>
    <row r="271" spans="2:12" ht="14.4" x14ac:dyDescent="0.3">
      <c r="B271" s="40"/>
      <c r="C271" s="40" t="s">
        <v>712</v>
      </c>
      <c r="D271" s="43"/>
      <c r="E271" s="43"/>
      <c r="F271" s="43"/>
      <c r="G271" s="385"/>
      <c r="H271" s="43"/>
      <c r="I271" s="43"/>
      <c r="J271" s="43"/>
      <c r="K271" s="41"/>
      <c r="L271" s="41"/>
    </row>
    <row r="272" spans="2:12" x14ac:dyDescent="0.25">
      <c r="B272" s="40"/>
      <c r="C272" s="40" t="s">
        <v>713</v>
      </c>
      <c r="D272" s="43"/>
      <c r="E272" s="43"/>
      <c r="F272" s="43"/>
      <c r="G272" s="43"/>
      <c r="H272" s="43"/>
      <c r="I272" s="43"/>
      <c r="J272" s="43"/>
      <c r="K272" s="41"/>
      <c r="L272" s="41"/>
    </row>
    <row r="273" spans="2:12" x14ac:dyDescent="0.25">
      <c r="B273" s="40"/>
      <c r="C273" s="40" t="s">
        <v>715</v>
      </c>
      <c r="D273" s="43"/>
      <c r="E273" s="43"/>
      <c r="F273" s="43"/>
      <c r="G273" s="43"/>
      <c r="H273" s="43"/>
      <c r="I273" s="43"/>
      <c r="J273" s="43"/>
      <c r="K273" s="41"/>
      <c r="L273" s="41"/>
    </row>
    <row r="274" spans="2:12" x14ac:dyDescent="0.25">
      <c r="B274" s="40"/>
      <c r="C274" s="72"/>
      <c r="D274" s="65"/>
      <c r="E274" s="65"/>
      <c r="F274" s="65"/>
      <c r="G274" s="65"/>
      <c r="H274" s="65"/>
      <c r="I274" s="65"/>
      <c r="J274" s="65"/>
      <c r="K274" s="73"/>
      <c r="L274" s="41"/>
    </row>
    <row r="275" spans="2:12" x14ac:dyDescent="0.25">
      <c r="B275" s="40"/>
      <c r="C275" s="26" t="s">
        <v>617</v>
      </c>
      <c r="D275" s="28"/>
      <c r="E275" s="28"/>
      <c r="F275" s="28"/>
      <c r="G275" s="28"/>
      <c r="H275" s="28"/>
      <c r="I275" s="28"/>
      <c r="J275" s="28"/>
      <c r="K275" s="27"/>
      <c r="L275" s="41"/>
    </row>
    <row r="276" spans="2:12" x14ac:dyDescent="0.25">
      <c r="B276" s="40"/>
      <c r="C276" s="40"/>
      <c r="D276" s="43"/>
      <c r="E276" s="43"/>
      <c r="F276" s="43"/>
      <c r="G276" s="43"/>
      <c r="H276" s="43"/>
      <c r="I276" s="43"/>
      <c r="J276" s="43"/>
      <c r="K276" s="41"/>
      <c r="L276" s="41"/>
    </row>
    <row r="277" spans="2:12" x14ac:dyDescent="0.25">
      <c r="B277" s="40"/>
      <c r="C277" s="40" t="s">
        <v>716</v>
      </c>
      <c r="D277" s="43"/>
      <c r="E277" s="43"/>
      <c r="F277" s="43"/>
      <c r="G277" s="43"/>
      <c r="H277" s="43"/>
      <c r="I277" s="43"/>
      <c r="J277" s="43"/>
      <c r="K277" s="41"/>
      <c r="L277" s="41"/>
    </row>
    <row r="278" spans="2:12" x14ac:dyDescent="0.25">
      <c r="B278" s="40"/>
      <c r="C278" s="40" t="s">
        <v>721</v>
      </c>
      <c r="D278" s="43"/>
      <c r="E278" s="43"/>
      <c r="F278" s="43"/>
      <c r="G278" s="43"/>
      <c r="H278" s="43"/>
      <c r="I278" s="43"/>
      <c r="J278" s="43"/>
      <c r="K278" s="41"/>
      <c r="L278" s="41"/>
    </row>
    <row r="279" spans="2:12" x14ac:dyDescent="0.25">
      <c r="B279" s="40"/>
      <c r="C279" s="72"/>
      <c r="D279" s="65"/>
      <c r="E279" s="65"/>
      <c r="F279" s="65"/>
      <c r="G279" s="65"/>
      <c r="H279" s="65"/>
      <c r="I279" s="65"/>
      <c r="J279" s="65"/>
      <c r="K279" s="73"/>
      <c r="L279" s="41"/>
    </row>
    <row r="280" spans="2:12" x14ac:dyDescent="0.25">
      <c r="B280" s="40"/>
      <c r="C280" s="28"/>
      <c r="D280" s="28"/>
      <c r="E280" s="28"/>
      <c r="F280" s="28"/>
      <c r="G280" s="28"/>
      <c r="H280" s="28"/>
      <c r="I280" s="28"/>
      <c r="J280" s="28"/>
      <c r="K280" s="28"/>
      <c r="L280" s="41"/>
    </row>
    <row r="281" spans="2:12" x14ac:dyDescent="0.25">
      <c r="B281" s="40"/>
      <c r="C281" s="43" t="s">
        <v>821</v>
      </c>
      <c r="D281" s="43"/>
      <c r="E281" s="43"/>
      <c r="F281" s="43"/>
      <c r="G281" s="43"/>
      <c r="H281" s="43"/>
      <c r="I281" s="43"/>
      <c r="J281" s="43"/>
      <c r="K281" s="43"/>
      <c r="L281" s="41"/>
    </row>
    <row r="282" spans="2:12" x14ac:dyDescent="0.25">
      <c r="B282" s="40"/>
      <c r="C282" s="43"/>
      <c r="D282" s="43"/>
      <c r="E282" s="43"/>
      <c r="F282" s="43"/>
      <c r="G282" s="43"/>
      <c r="H282" s="43"/>
      <c r="I282" s="43"/>
      <c r="J282" s="43"/>
      <c r="K282" s="43"/>
      <c r="L282" s="41"/>
    </row>
    <row r="283" spans="2:12" x14ac:dyDescent="0.25">
      <c r="B283" s="40"/>
      <c r="C283" s="252" t="s">
        <v>787</v>
      </c>
      <c r="D283" s="43"/>
      <c r="E283" s="43"/>
      <c r="F283" s="43"/>
      <c r="G283" s="43"/>
      <c r="H283" s="43"/>
      <c r="I283" s="43"/>
      <c r="J283" s="43"/>
      <c r="K283" s="43"/>
      <c r="L283" s="41"/>
    </row>
    <row r="284" spans="2:12" x14ac:dyDescent="0.25">
      <c r="B284" s="40"/>
      <c r="C284" s="26" t="s">
        <v>794</v>
      </c>
      <c r="D284" s="28"/>
      <c r="E284" s="28"/>
      <c r="F284" s="28"/>
      <c r="G284" s="28"/>
      <c r="H284" s="28"/>
      <c r="I284" s="28"/>
      <c r="J284" s="28"/>
      <c r="K284" s="27"/>
      <c r="L284" s="41"/>
    </row>
    <row r="285" spans="2:12" x14ac:dyDescent="0.25">
      <c r="B285" s="40"/>
      <c r="C285" s="40" t="s">
        <v>795</v>
      </c>
      <c r="D285" s="43"/>
      <c r="E285" s="43"/>
      <c r="F285" s="43"/>
      <c r="G285" s="43"/>
      <c r="H285" s="43"/>
      <c r="I285" s="43"/>
      <c r="J285" s="43"/>
      <c r="K285" s="41"/>
      <c r="L285" s="41"/>
    </row>
    <row r="286" spans="2:12" x14ac:dyDescent="0.25">
      <c r="B286" s="40"/>
      <c r="C286" s="40" t="s">
        <v>796</v>
      </c>
      <c r="D286" s="43"/>
      <c r="E286" s="43"/>
      <c r="F286" s="43"/>
      <c r="G286" s="43"/>
      <c r="H286" s="43"/>
      <c r="I286" s="43"/>
      <c r="J286" s="43"/>
      <c r="K286" s="41"/>
      <c r="L286" s="41"/>
    </row>
    <row r="287" spans="2:12" x14ac:dyDescent="0.25">
      <c r="B287" s="40"/>
      <c r="C287" s="40" t="s">
        <v>790</v>
      </c>
      <c r="D287" s="43"/>
      <c r="E287" s="43"/>
      <c r="F287" s="43"/>
      <c r="G287" s="43"/>
      <c r="H287" s="43"/>
      <c r="I287" s="43"/>
      <c r="J287" s="43"/>
      <c r="K287" s="41"/>
      <c r="L287" s="41"/>
    </row>
    <row r="288" spans="2:12" x14ac:dyDescent="0.25">
      <c r="B288" s="40"/>
      <c r="C288" s="40" t="s">
        <v>791</v>
      </c>
      <c r="D288" s="43"/>
      <c r="E288" s="43"/>
      <c r="F288" s="43"/>
      <c r="G288" s="43"/>
      <c r="H288" s="43"/>
      <c r="I288" s="43"/>
      <c r="J288" s="43"/>
      <c r="K288" s="41"/>
      <c r="L288" s="41"/>
    </row>
    <row r="289" spans="2:12" x14ac:dyDescent="0.25">
      <c r="B289" s="40"/>
      <c r="C289" s="40"/>
      <c r="D289" s="43" t="s">
        <v>798</v>
      </c>
      <c r="E289" s="43"/>
      <c r="F289" s="43"/>
      <c r="G289" s="43"/>
      <c r="H289" s="43"/>
      <c r="I289" s="43"/>
      <c r="J289" s="43"/>
      <c r="K289" s="41"/>
      <c r="L289" s="41"/>
    </row>
    <row r="290" spans="2:12" x14ac:dyDescent="0.25">
      <c r="B290" s="40"/>
      <c r="C290" s="40"/>
      <c r="D290" s="43" t="s">
        <v>799</v>
      </c>
      <c r="E290" s="43"/>
      <c r="F290" s="43"/>
      <c r="G290" s="43"/>
      <c r="H290" s="43"/>
      <c r="I290" s="43"/>
      <c r="J290" s="43"/>
      <c r="K290" s="41"/>
      <c r="L290" s="41"/>
    </row>
    <row r="291" spans="2:12" x14ac:dyDescent="0.25">
      <c r="B291" s="40"/>
      <c r="C291" s="40"/>
      <c r="D291" s="43" t="s">
        <v>789</v>
      </c>
      <c r="E291" s="43"/>
      <c r="F291" s="43"/>
      <c r="G291" s="43"/>
      <c r="H291" s="43"/>
      <c r="I291" s="43"/>
      <c r="J291" s="43"/>
      <c r="K291" s="41"/>
      <c r="L291" s="41"/>
    </row>
    <row r="292" spans="2:12" x14ac:dyDescent="0.25">
      <c r="B292" s="40"/>
      <c r="C292" s="40"/>
      <c r="D292" s="43" t="s">
        <v>788</v>
      </c>
      <c r="E292" s="43"/>
      <c r="F292" s="43"/>
      <c r="G292" s="43"/>
      <c r="H292" s="43"/>
      <c r="I292" s="43"/>
      <c r="J292" s="43"/>
      <c r="K292" s="41"/>
      <c r="L292" s="41"/>
    </row>
    <row r="293" spans="2:12" x14ac:dyDescent="0.25">
      <c r="B293" s="40"/>
      <c r="C293" s="40"/>
      <c r="D293" s="43" t="s">
        <v>792</v>
      </c>
      <c r="E293" s="43"/>
      <c r="F293" s="43"/>
      <c r="G293" s="43"/>
      <c r="H293" s="43"/>
      <c r="I293" s="43"/>
      <c r="J293" s="43"/>
      <c r="K293" s="41"/>
      <c r="L293" s="41"/>
    </row>
    <row r="294" spans="2:12" x14ac:dyDescent="0.25">
      <c r="B294" s="40"/>
      <c r="C294" s="40"/>
      <c r="D294" s="43" t="s">
        <v>793</v>
      </c>
      <c r="E294" s="43"/>
      <c r="F294" s="43"/>
      <c r="G294" s="43"/>
      <c r="H294" s="43"/>
      <c r="I294" s="43"/>
      <c r="J294" s="43"/>
      <c r="K294" s="41"/>
      <c r="L294" s="41"/>
    </row>
    <row r="295" spans="2:12" x14ac:dyDescent="0.25">
      <c r="B295" s="40"/>
      <c r="C295" s="40"/>
      <c r="D295" s="43" t="s">
        <v>800</v>
      </c>
      <c r="E295" s="43"/>
      <c r="F295" s="43"/>
      <c r="G295" s="43"/>
      <c r="H295" s="43"/>
      <c r="I295" s="43"/>
      <c r="J295" s="43"/>
      <c r="K295" s="41"/>
      <c r="L295" s="41"/>
    </row>
    <row r="296" spans="2:12" x14ac:dyDescent="0.25">
      <c r="B296" s="40"/>
      <c r="C296" s="40" t="s">
        <v>797</v>
      </c>
      <c r="D296" s="43"/>
      <c r="E296" s="43"/>
      <c r="F296" s="43"/>
      <c r="G296" s="43"/>
      <c r="H296" s="43"/>
      <c r="I296" s="43"/>
      <c r="J296" s="43"/>
      <c r="K296" s="41"/>
      <c r="L296" s="41"/>
    </row>
    <row r="297" spans="2:12" x14ac:dyDescent="0.25">
      <c r="B297" s="40"/>
      <c r="C297" s="40" t="s">
        <v>802</v>
      </c>
      <c r="D297" s="43"/>
      <c r="E297" s="43"/>
      <c r="F297" s="43"/>
      <c r="G297" s="43"/>
      <c r="H297" s="43"/>
      <c r="I297" s="43"/>
      <c r="J297" s="43"/>
      <c r="K297" s="41"/>
      <c r="L297" s="41"/>
    </row>
    <row r="298" spans="2:12" x14ac:dyDescent="0.25">
      <c r="B298" s="40"/>
      <c r="C298" s="40" t="s">
        <v>801</v>
      </c>
      <c r="D298" s="43"/>
      <c r="E298" s="43"/>
      <c r="F298" s="43"/>
      <c r="G298" s="43"/>
      <c r="H298" s="43"/>
      <c r="I298" s="43"/>
      <c r="J298" s="43"/>
      <c r="K298" s="41"/>
      <c r="L298" s="41"/>
    </row>
    <row r="299" spans="2:12" x14ac:dyDescent="0.25">
      <c r="B299" s="40"/>
      <c r="C299" s="40" t="s">
        <v>803</v>
      </c>
      <c r="D299" s="43"/>
      <c r="E299" s="43"/>
      <c r="F299" s="43"/>
      <c r="G299" s="43"/>
      <c r="H299" s="43"/>
      <c r="I299" s="43"/>
      <c r="J299" s="43"/>
      <c r="K299" s="41"/>
      <c r="L299" s="41"/>
    </row>
    <row r="300" spans="2:12" x14ac:dyDescent="0.25">
      <c r="B300" s="40"/>
      <c r="C300" s="72"/>
      <c r="D300" s="65"/>
      <c r="E300" s="65"/>
      <c r="F300" s="65"/>
      <c r="G300" s="65"/>
      <c r="H300" s="65"/>
      <c r="I300" s="65"/>
      <c r="J300" s="65"/>
      <c r="K300" s="73"/>
      <c r="L300" s="41"/>
    </row>
    <row r="301" spans="2:12" x14ac:dyDescent="0.25">
      <c r="B301" s="40"/>
      <c r="C301" s="43"/>
      <c r="D301" s="43"/>
      <c r="E301" s="43"/>
      <c r="F301" s="43"/>
      <c r="G301" s="43"/>
      <c r="H301" s="43"/>
      <c r="I301" s="43"/>
      <c r="J301" s="43"/>
      <c r="K301" s="43"/>
      <c r="L301" s="41"/>
    </row>
    <row r="302" spans="2:12" x14ac:dyDescent="0.25">
      <c r="B302" s="40"/>
      <c r="C302" s="252" t="s">
        <v>484</v>
      </c>
      <c r="D302" s="43"/>
      <c r="E302" s="43"/>
      <c r="F302" s="43"/>
      <c r="G302" s="43"/>
      <c r="H302" s="43"/>
      <c r="I302" s="43"/>
      <c r="J302" s="43"/>
      <c r="K302" s="43"/>
      <c r="L302" s="41"/>
    </row>
    <row r="303" spans="2:12" x14ac:dyDescent="0.25">
      <c r="B303" s="40"/>
      <c r="C303" s="26" t="s">
        <v>722</v>
      </c>
      <c r="D303" s="28"/>
      <c r="E303" s="28"/>
      <c r="F303" s="28"/>
      <c r="G303" s="28"/>
      <c r="H303" s="28"/>
      <c r="I303" s="28"/>
      <c r="J303" s="28"/>
      <c r="K303" s="27"/>
      <c r="L303" s="41"/>
    </row>
    <row r="304" spans="2:12" x14ac:dyDescent="0.25">
      <c r="B304" s="40"/>
      <c r="C304" s="40" t="s">
        <v>723</v>
      </c>
      <c r="D304" s="43"/>
      <c r="E304" s="43"/>
      <c r="F304" s="43"/>
      <c r="G304" s="43"/>
      <c r="H304" s="43"/>
      <c r="I304" s="43"/>
      <c r="J304" s="43"/>
      <c r="K304" s="41"/>
      <c r="L304" s="41"/>
    </row>
    <row r="305" spans="2:12" x14ac:dyDescent="0.25">
      <c r="B305" s="40"/>
      <c r="C305" s="40" t="s">
        <v>724</v>
      </c>
      <c r="D305" s="43"/>
      <c r="E305" s="43"/>
      <c r="F305" s="43"/>
      <c r="G305" s="43"/>
      <c r="H305" s="43"/>
      <c r="I305" s="43"/>
      <c r="J305" s="43"/>
      <c r="K305" s="41"/>
      <c r="L305" s="41"/>
    </row>
    <row r="306" spans="2:12" x14ac:dyDescent="0.25">
      <c r="B306" s="40"/>
      <c r="C306" s="40"/>
      <c r="D306" s="43"/>
      <c r="E306" s="43"/>
      <c r="F306" s="43"/>
      <c r="G306" s="43"/>
      <c r="H306" s="43"/>
      <c r="I306" s="43"/>
      <c r="J306" s="43"/>
      <c r="K306" s="41"/>
      <c r="L306" s="41"/>
    </row>
    <row r="307" spans="2:12" x14ac:dyDescent="0.25">
      <c r="B307" s="40"/>
      <c r="C307" s="40" t="s">
        <v>727</v>
      </c>
      <c r="D307" s="43"/>
      <c r="E307" s="43"/>
      <c r="F307" s="43"/>
      <c r="G307" s="43"/>
      <c r="H307" s="43"/>
      <c r="I307" s="43"/>
      <c r="J307" s="43"/>
      <c r="K307" s="41"/>
      <c r="L307" s="41"/>
    </row>
    <row r="308" spans="2:12" x14ac:dyDescent="0.25">
      <c r="B308" s="40"/>
      <c r="C308" s="40" t="s">
        <v>725</v>
      </c>
      <c r="D308" s="43"/>
      <c r="E308" s="43"/>
      <c r="F308" s="43"/>
      <c r="G308" s="43"/>
      <c r="H308" s="43"/>
      <c r="I308" s="43"/>
      <c r="J308" s="43"/>
      <c r="K308" s="41"/>
      <c r="L308" s="41"/>
    </row>
    <row r="309" spans="2:12" x14ac:dyDescent="0.25">
      <c r="B309" s="40"/>
      <c r="C309" s="72"/>
      <c r="D309" s="65"/>
      <c r="E309" s="65"/>
      <c r="F309" s="65"/>
      <c r="G309" s="65"/>
      <c r="H309" s="65"/>
      <c r="I309" s="65"/>
      <c r="J309" s="65"/>
      <c r="K309" s="73"/>
      <c r="L309" s="41"/>
    </row>
    <row r="310" spans="2:12" x14ac:dyDescent="0.25">
      <c r="B310" s="40"/>
      <c r="C310" s="43"/>
      <c r="D310" s="43"/>
      <c r="E310" s="43"/>
      <c r="F310" s="43"/>
      <c r="G310" s="43"/>
      <c r="H310" s="43"/>
      <c r="I310" s="43"/>
      <c r="J310" s="43"/>
      <c r="K310" s="43"/>
      <c r="L310" s="41"/>
    </row>
    <row r="311" spans="2:12" x14ac:dyDescent="0.25">
      <c r="B311" s="40"/>
      <c r="C311" s="406" t="s">
        <v>480</v>
      </c>
      <c r="D311" s="43"/>
      <c r="E311" s="43"/>
      <c r="F311" s="43"/>
      <c r="G311" s="43"/>
      <c r="H311" s="43"/>
      <c r="I311" s="43"/>
      <c r="J311" s="43"/>
      <c r="K311" s="43"/>
      <c r="L311" s="41"/>
    </row>
    <row r="312" spans="2:12" x14ac:dyDescent="0.25">
      <c r="B312" s="40"/>
      <c r="C312" s="386" t="s">
        <v>505</v>
      </c>
      <c r="D312" s="28"/>
      <c r="E312" s="28"/>
      <c r="F312" s="28"/>
      <c r="G312" s="28"/>
      <c r="H312" s="28"/>
      <c r="I312" s="28"/>
      <c r="J312" s="28"/>
      <c r="K312" s="27"/>
      <c r="L312" s="41"/>
    </row>
    <row r="313" spans="2:12" x14ac:dyDescent="0.25">
      <c r="B313" s="40"/>
      <c r="C313" s="40" t="s">
        <v>728</v>
      </c>
      <c r="D313" s="43"/>
      <c r="E313" s="43"/>
      <c r="F313" s="43"/>
      <c r="G313" s="43"/>
      <c r="H313" s="43"/>
      <c r="I313" s="43"/>
      <c r="J313" s="43"/>
      <c r="K313" s="41"/>
      <c r="L313" s="41"/>
    </row>
    <row r="314" spans="2:12" x14ac:dyDescent="0.25">
      <c r="B314" s="40"/>
      <c r="C314" s="40" t="s">
        <v>804</v>
      </c>
      <c r="D314" s="43"/>
      <c r="E314" s="43"/>
      <c r="F314" s="43"/>
      <c r="G314" s="43"/>
      <c r="H314" s="43"/>
      <c r="I314" s="43"/>
      <c r="J314" s="43"/>
      <c r="K314" s="41"/>
      <c r="L314" s="41"/>
    </row>
    <row r="315" spans="2:12" x14ac:dyDescent="0.25">
      <c r="B315" s="40"/>
      <c r="C315" s="40" t="s">
        <v>805</v>
      </c>
      <c r="D315" s="43"/>
      <c r="E315" s="43"/>
      <c r="F315" s="43"/>
      <c r="G315" s="43"/>
      <c r="H315" s="43"/>
      <c r="I315" s="43"/>
      <c r="J315" s="43"/>
      <c r="K315" s="41"/>
      <c r="L315" s="41"/>
    </row>
    <row r="316" spans="2:12" x14ac:dyDescent="0.25">
      <c r="B316" s="40"/>
      <c r="C316" s="40"/>
      <c r="D316" s="43"/>
      <c r="E316" s="43"/>
      <c r="F316" s="43"/>
      <c r="G316" s="43"/>
      <c r="H316" s="43"/>
      <c r="I316" s="43"/>
      <c r="J316" s="43"/>
      <c r="K316" s="41"/>
      <c r="L316" s="41"/>
    </row>
    <row r="317" spans="2:12" x14ac:dyDescent="0.25">
      <c r="B317" s="40"/>
      <c r="C317" s="387" t="s">
        <v>473</v>
      </c>
      <c r="D317" s="43"/>
      <c r="E317" s="43"/>
      <c r="F317" s="43"/>
      <c r="G317" s="43"/>
      <c r="H317" s="43"/>
      <c r="I317" s="43"/>
      <c r="J317" s="43"/>
      <c r="K317" s="41"/>
      <c r="L317" s="41"/>
    </row>
    <row r="318" spans="2:12" x14ac:dyDescent="0.25">
      <c r="B318" s="40"/>
      <c r="C318" s="40" t="s">
        <v>729</v>
      </c>
      <c r="D318" s="43"/>
      <c r="E318" s="43"/>
      <c r="F318" s="43"/>
      <c r="G318" s="43"/>
      <c r="H318" s="43"/>
      <c r="I318" s="43"/>
      <c r="J318" s="43"/>
      <c r="K318" s="41"/>
      <c r="L318" s="41"/>
    </row>
    <row r="319" spans="2:12" x14ac:dyDescent="0.25">
      <c r="B319" s="40"/>
      <c r="C319" s="40" t="s">
        <v>762</v>
      </c>
      <c r="D319" s="43"/>
      <c r="E319" s="43"/>
      <c r="F319" s="43"/>
      <c r="G319" s="43"/>
      <c r="H319" s="43"/>
      <c r="I319" s="43"/>
      <c r="J319" s="43"/>
      <c r="K319" s="41"/>
      <c r="L319" s="41"/>
    </row>
    <row r="320" spans="2:12" x14ac:dyDescent="0.25">
      <c r="B320" s="40"/>
      <c r="C320" s="40" t="s">
        <v>763</v>
      </c>
      <c r="D320" s="43"/>
      <c r="E320" s="43"/>
      <c r="F320" s="43"/>
      <c r="G320" s="43"/>
      <c r="H320" s="43"/>
      <c r="I320" s="43"/>
      <c r="J320" s="43"/>
      <c r="K320" s="41"/>
      <c r="L320" s="41"/>
    </row>
    <row r="321" spans="2:12" x14ac:dyDescent="0.25">
      <c r="B321" s="40"/>
      <c r="C321" s="40" t="s">
        <v>764</v>
      </c>
      <c r="D321" s="43"/>
      <c r="E321" s="43"/>
      <c r="F321" s="43"/>
      <c r="G321" s="43"/>
      <c r="H321" s="43"/>
      <c r="I321" s="43"/>
      <c r="J321" s="43"/>
      <c r="K321" s="41"/>
      <c r="L321" s="41"/>
    </row>
    <row r="322" spans="2:12" x14ac:dyDescent="0.25">
      <c r="B322" s="40"/>
      <c r="C322" s="40" t="s">
        <v>765</v>
      </c>
      <c r="D322" s="43"/>
      <c r="E322" s="43"/>
      <c r="F322" s="43"/>
      <c r="G322" s="43"/>
      <c r="H322" s="43"/>
      <c r="I322" s="43"/>
      <c r="J322" s="43"/>
      <c r="K322" s="41"/>
      <c r="L322" s="41"/>
    </row>
    <row r="323" spans="2:12" x14ac:dyDescent="0.25">
      <c r="B323" s="40"/>
      <c r="C323" s="40" t="s">
        <v>822</v>
      </c>
      <c r="D323" s="43"/>
      <c r="E323" s="43"/>
      <c r="F323" s="43"/>
      <c r="G323" s="43"/>
      <c r="H323" s="43"/>
      <c r="I323" s="43"/>
      <c r="J323" s="43"/>
      <c r="K323" s="41"/>
      <c r="L323" s="41"/>
    </row>
    <row r="324" spans="2:12" x14ac:dyDescent="0.25">
      <c r="B324" s="40"/>
      <c r="C324" s="40" t="s">
        <v>761</v>
      </c>
      <c r="D324" s="43"/>
      <c r="E324" s="43"/>
      <c r="F324" s="43"/>
      <c r="G324" s="43"/>
      <c r="H324" s="43"/>
      <c r="I324" s="43"/>
      <c r="J324" s="43"/>
      <c r="K324" s="41"/>
      <c r="L324" s="41"/>
    </row>
    <row r="325" spans="2:12" x14ac:dyDescent="0.25">
      <c r="B325" s="40"/>
      <c r="C325" s="40" t="s">
        <v>823</v>
      </c>
      <c r="D325" s="43"/>
      <c r="E325" s="43"/>
      <c r="F325" s="43"/>
      <c r="G325" s="43"/>
      <c r="H325" s="43"/>
      <c r="I325" s="43"/>
      <c r="J325" s="43"/>
      <c r="K325" s="41"/>
      <c r="L325" s="41"/>
    </row>
    <row r="326" spans="2:12" x14ac:dyDescent="0.25">
      <c r="B326" s="40"/>
      <c r="C326" s="72"/>
      <c r="D326" s="65"/>
      <c r="E326" s="65"/>
      <c r="F326" s="65"/>
      <c r="G326" s="65"/>
      <c r="H326" s="65"/>
      <c r="I326" s="65"/>
      <c r="J326" s="65"/>
      <c r="K326" s="73"/>
      <c r="L326" s="41"/>
    </row>
    <row r="327" spans="2:12" x14ac:dyDescent="0.25">
      <c r="B327" s="40"/>
      <c r="C327" s="43"/>
      <c r="D327" s="43"/>
      <c r="E327" s="43"/>
      <c r="F327" s="43"/>
      <c r="G327" s="43"/>
      <c r="H327" s="43"/>
      <c r="I327" s="43"/>
      <c r="J327" s="43"/>
      <c r="K327" s="43"/>
      <c r="L327" s="41"/>
    </row>
    <row r="328" spans="2:12" x14ac:dyDescent="0.25">
      <c r="B328" s="40"/>
      <c r="C328" s="406" t="s">
        <v>478</v>
      </c>
      <c r="D328" s="43"/>
      <c r="E328" s="43"/>
      <c r="F328" s="43"/>
      <c r="G328" s="43"/>
      <c r="H328" s="43"/>
      <c r="I328" s="43"/>
      <c r="J328" s="43"/>
      <c r="K328" s="43"/>
      <c r="L328" s="41"/>
    </row>
    <row r="329" spans="2:12" x14ac:dyDescent="0.25">
      <c r="B329" s="40"/>
      <c r="C329" s="386" t="s">
        <v>294</v>
      </c>
      <c r="D329" s="28"/>
      <c r="E329" s="28"/>
      <c r="F329" s="28"/>
      <c r="G329" s="28"/>
      <c r="H329" s="28"/>
      <c r="I329" s="28"/>
      <c r="J329" s="28"/>
      <c r="K329" s="27"/>
      <c r="L329" s="41"/>
    </row>
    <row r="330" spans="2:12" x14ac:dyDescent="0.25">
      <c r="B330" s="40"/>
      <c r="C330" s="40" t="s">
        <v>731</v>
      </c>
      <c r="D330" s="43"/>
      <c r="E330" s="43"/>
      <c r="F330" s="43"/>
      <c r="G330" s="43"/>
      <c r="H330" s="43"/>
      <c r="I330" s="43"/>
      <c r="J330" s="43"/>
      <c r="K330" s="41"/>
      <c r="L330" s="41"/>
    </row>
    <row r="331" spans="2:12" x14ac:dyDescent="0.25">
      <c r="B331" s="40"/>
      <c r="C331" s="40" t="s">
        <v>770</v>
      </c>
      <c r="D331" s="43"/>
      <c r="E331" s="43"/>
      <c r="F331" s="43"/>
      <c r="G331" s="43"/>
      <c r="H331" s="43"/>
      <c r="I331" s="43"/>
      <c r="J331" s="43"/>
      <c r="K331" s="41"/>
      <c r="L331" s="41"/>
    </row>
    <row r="332" spans="2:12" x14ac:dyDescent="0.25">
      <c r="B332" s="40"/>
      <c r="C332" s="40" t="s">
        <v>771</v>
      </c>
      <c r="D332" s="43"/>
      <c r="E332" s="43"/>
      <c r="F332" s="43"/>
      <c r="G332" s="43"/>
      <c r="H332" s="43"/>
      <c r="I332" s="43"/>
      <c r="J332" s="43"/>
      <c r="K332" s="41"/>
      <c r="L332" s="41"/>
    </row>
    <row r="333" spans="2:12" x14ac:dyDescent="0.25">
      <c r="B333" s="40"/>
      <c r="C333" s="40" t="s">
        <v>732</v>
      </c>
      <c r="D333" s="43"/>
      <c r="E333" s="43"/>
      <c r="F333" s="43"/>
      <c r="G333" s="43"/>
      <c r="H333" s="43"/>
      <c r="I333" s="43"/>
      <c r="J333" s="43"/>
      <c r="K333" s="41"/>
      <c r="L333" s="41"/>
    </row>
    <row r="334" spans="2:12" x14ac:dyDescent="0.25">
      <c r="B334" s="40"/>
      <c r="C334" s="40" t="s">
        <v>730</v>
      </c>
      <c r="D334" s="43"/>
      <c r="E334" s="43"/>
      <c r="F334" s="43"/>
      <c r="G334" s="43"/>
      <c r="H334" s="43"/>
      <c r="I334" s="43"/>
      <c r="J334" s="43"/>
      <c r="K334" s="41"/>
      <c r="L334" s="41"/>
    </row>
    <row r="335" spans="2:12" x14ac:dyDescent="0.25">
      <c r="B335" s="40"/>
      <c r="C335" s="40" t="s">
        <v>772</v>
      </c>
      <c r="D335" s="43"/>
      <c r="E335" s="43"/>
      <c r="F335" s="43"/>
      <c r="G335" s="43"/>
      <c r="H335" s="43"/>
      <c r="I335" s="43"/>
      <c r="J335" s="43"/>
      <c r="K335" s="41"/>
      <c r="L335" s="41"/>
    </row>
    <row r="336" spans="2:12" x14ac:dyDescent="0.25">
      <c r="B336" s="40"/>
      <c r="C336" s="40" t="s">
        <v>733</v>
      </c>
      <c r="D336" s="43"/>
      <c r="E336" s="43"/>
      <c r="F336" s="43"/>
      <c r="G336" s="43"/>
      <c r="H336" s="43"/>
      <c r="I336" s="43"/>
      <c r="J336" s="43"/>
      <c r="K336" s="41"/>
      <c r="L336" s="41"/>
    </row>
    <row r="337" spans="2:12" x14ac:dyDescent="0.25">
      <c r="B337" s="40"/>
      <c r="C337" s="40" t="s">
        <v>737</v>
      </c>
      <c r="D337" s="43"/>
      <c r="E337" s="43"/>
      <c r="F337" s="43"/>
      <c r="G337" s="43"/>
      <c r="H337" s="43"/>
      <c r="I337" s="43"/>
      <c r="J337" s="43"/>
      <c r="K337" s="41"/>
      <c r="L337" s="41"/>
    </row>
    <row r="338" spans="2:12" x14ac:dyDescent="0.25">
      <c r="B338" s="40"/>
      <c r="C338" s="40" t="s">
        <v>773</v>
      </c>
      <c r="D338" s="43"/>
      <c r="E338" s="43"/>
      <c r="F338" s="43"/>
      <c r="G338" s="43"/>
      <c r="H338" s="43"/>
      <c r="I338" s="43"/>
      <c r="J338" s="43"/>
      <c r="K338" s="41"/>
      <c r="L338" s="41"/>
    </row>
    <row r="339" spans="2:12" x14ac:dyDescent="0.25">
      <c r="B339" s="40"/>
      <c r="C339" s="40" t="s">
        <v>738</v>
      </c>
      <c r="D339" s="43"/>
      <c r="E339" s="43"/>
      <c r="F339" s="43"/>
      <c r="G339" s="43"/>
      <c r="H339" s="43"/>
      <c r="I339" s="43"/>
      <c r="J339" s="43"/>
      <c r="K339" s="41"/>
      <c r="L339" s="41"/>
    </row>
    <row r="340" spans="2:12" x14ac:dyDescent="0.25">
      <c r="B340" s="40"/>
      <c r="C340" s="40" t="s">
        <v>734</v>
      </c>
      <c r="D340" s="43"/>
      <c r="E340" s="43"/>
      <c r="F340" s="43"/>
      <c r="G340" s="43"/>
      <c r="H340" s="43"/>
      <c r="I340" s="43"/>
      <c r="J340" s="43"/>
      <c r="K340" s="41"/>
      <c r="L340" s="41"/>
    </row>
    <row r="341" spans="2:12" x14ac:dyDescent="0.25">
      <c r="B341" s="40"/>
      <c r="C341" s="40" t="s">
        <v>735</v>
      </c>
      <c r="D341" s="43"/>
      <c r="E341" s="43"/>
      <c r="F341" s="43"/>
      <c r="G341" s="43"/>
      <c r="H341" s="43"/>
      <c r="I341" s="43"/>
      <c r="J341" s="43"/>
      <c r="K341" s="41"/>
      <c r="L341" s="41"/>
    </row>
    <row r="342" spans="2:12" x14ac:dyDescent="0.25">
      <c r="B342" s="40"/>
      <c r="C342" s="40" t="s">
        <v>739</v>
      </c>
      <c r="D342" s="43"/>
      <c r="E342" s="43"/>
      <c r="F342" s="43"/>
      <c r="G342" s="43"/>
      <c r="H342" s="43"/>
      <c r="I342" s="43"/>
      <c r="J342" s="43"/>
      <c r="K342" s="41"/>
      <c r="L342" s="41"/>
    </row>
    <row r="343" spans="2:12" x14ac:dyDescent="0.25">
      <c r="B343" s="40"/>
      <c r="C343" s="40" t="s">
        <v>736</v>
      </c>
      <c r="D343" s="43"/>
      <c r="E343" s="43"/>
      <c r="F343" s="43"/>
      <c r="G343" s="43"/>
      <c r="H343" s="43"/>
      <c r="I343" s="43"/>
      <c r="J343" s="43"/>
      <c r="K343" s="41"/>
      <c r="L343" s="41"/>
    </row>
    <row r="344" spans="2:12" x14ac:dyDescent="0.25">
      <c r="B344" s="40"/>
      <c r="C344" s="40" t="s">
        <v>774</v>
      </c>
      <c r="D344" s="43"/>
      <c r="E344" s="43"/>
      <c r="F344" s="43"/>
      <c r="G344" s="43"/>
      <c r="H344" s="43"/>
      <c r="I344" s="43"/>
      <c r="J344" s="43"/>
      <c r="K344" s="41"/>
      <c r="L344" s="41"/>
    </row>
    <row r="345" spans="2:12" x14ac:dyDescent="0.25">
      <c r="B345" s="40"/>
      <c r="C345" s="40"/>
      <c r="D345" s="43"/>
      <c r="E345" s="43"/>
      <c r="F345" s="43"/>
      <c r="G345" s="43"/>
      <c r="H345" s="43"/>
      <c r="I345" s="43"/>
      <c r="J345" s="43"/>
      <c r="K345" s="41"/>
      <c r="L345" s="41"/>
    </row>
    <row r="346" spans="2:12" x14ac:dyDescent="0.25">
      <c r="B346" s="40"/>
      <c r="C346" s="387" t="s">
        <v>309</v>
      </c>
      <c r="D346" s="43"/>
      <c r="E346" s="43"/>
      <c r="F346" s="43"/>
      <c r="G346" s="43"/>
      <c r="H346" s="43"/>
      <c r="I346" s="43"/>
      <c r="J346" s="43"/>
      <c r="K346" s="41"/>
      <c r="L346" s="41"/>
    </row>
    <row r="347" spans="2:12" x14ac:dyDescent="0.25">
      <c r="B347" s="40"/>
      <c r="C347" s="40" t="s">
        <v>741</v>
      </c>
      <c r="D347" s="43"/>
      <c r="E347" s="43"/>
      <c r="F347" s="43"/>
      <c r="G347" s="43"/>
      <c r="H347" s="43"/>
      <c r="I347" s="43"/>
      <c r="J347" s="43"/>
      <c r="K347" s="41"/>
      <c r="L347" s="41"/>
    </row>
    <row r="348" spans="2:12" x14ac:dyDescent="0.25">
      <c r="B348" s="40"/>
      <c r="C348" s="40" t="s">
        <v>740</v>
      </c>
      <c r="D348" s="43"/>
      <c r="E348" s="43"/>
      <c r="F348" s="43"/>
      <c r="G348" s="43"/>
      <c r="H348" s="43"/>
      <c r="I348" s="43"/>
      <c r="J348" s="43"/>
      <c r="K348" s="41"/>
      <c r="L348" s="41"/>
    </row>
    <row r="349" spans="2:12" x14ac:dyDescent="0.25">
      <c r="B349" s="40"/>
      <c r="C349" s="72"/>
      <c r="D349" s="65"/>
      <c r="E349" s="65"/>
      <c r="F349" s="65"/>
      <c r="G349" s="65"/>
      <c r="H349" s="65"/>
      <c r="I349" s="65"/>
      <c r="J349" s="65"/>
      <c r="K349" s="73"/>
      <c r="L349" s="41"/>
    </row>
    <row r="350" spans="2:12" x14ac:dyDescent="0.25">
      <c r="B350" s="40"/>
      <c r="C350" s="43"/>
      <c r="D350" s="43"/>
      <c r="E350" s="43"/>
      <c r="F350" s="43"/>
      <c r="G350" s="43"/>
      <c r="H350" s="43"/>
      <c r="I350" s="43"/>
      <c r="J350" s="43"/>
      <c r="K350" s="43"/>
      <c r="L350" s="41"/>
    </row>
    <row r="351" spans="2:12" x14ac:dyDescent="0.25">
      <c r="B351" s="40"/>
      <c r="C351" s="406" t="s">
        <v>479</v>
      </c>
      <c r="D351" s="43"/>
      <c r="E351" s="43"/>
      <c r="F351" s="43"/>
      <c r="G351" s="43"/>
      <c r="H351" s="43"/>
      <c r="I351" s="43"/>
      <c r="J351" s="43"/>
      <c r="K351" s="43"/>
      <c r="L351" s="41"/>
    </row>
    <row r="352" spans="2:12" x14ac:dyDescent="0.25">
      <c r="B352" s="40"/>
      <c r="C352" s="26" t="s">
        <v>742</v>
      </c>
      <c r="D352" s="28"/>
      <c r="E352" s="28"/>
      <c r="F352" s="28"/>
      <c r="G352" s="28"/>
      <c r="H352" s="28"/>
      <c r="I352" s="28"/>
      <c r="J352" s="28"/>
      <c r="K352" s="27"/>
      <c r="L352" s="41"/>
    </row>
    <row r="353" spans="2:12" x14ac:dyDescent="0.25">
      <c r="B353" s="40"/>
      <c r="C353" s="40" t="s">
        <v>775</v>
      </c>
      <c r="D353" s="43"/>
      <c r="E353" s="43"/>
      <c r="F353" s="43"/>
      <c r="G353" s="43"/>
      <c r="H353" s="43"/>
      <c r="I353" s="43"/>
      <c r="J353" s="43"/>
      <c r="K353" s="41"/>
      <c r="L353" s="41"/>
    </row>
    <row r="354" spans="2:12" x14ac:dyDescent="0.25">
      <c r="B354" s="40"/>
      <c r="C354" s="40" t="s">
        <v>743</v>
      </c>
      <c r="D354" s="43"/>
      <c r="E354" s="43"/>
      <c r="F354" s="43"/>
      <c r="G354" s="43"/>
      <c r="H354" s="43"/>
      <c r="I354" s="43"/>
      <c r="J354" s="43"/>
      <c r="K354" s="41"/>
      <c r="L354" s="41"/>
    </row>
    <row r="355" spans="2:12" x14ac:dyDescent="0.25">
      <c r="B355" s="40"/>
      <c r="C355" s="40" t="s">
        <v>824</v>
      </c>
      <c r="D355" s="43"/>
      <c r="E355" s="43"/>
      <c r="F355" s="43"/>
      <c r="G355" s="43"/>
      <c r="H355" s="43"/>
      <c r="I355" s="43"/>
      <c r="J355" s="43"/>
      <c r="K355" s="41"/>
      <c r="L355" s="41"/>
    </row>
    <row r="356" spans="2:12" x14ac:dyDescent="0.25">
      <c r="B356" s="40"/>
      <c r="C356" s="72"/>
      <c r="D356" s="65"/>
      <c r="E356" s="65"/>
      <c r="F356" s="65"/>
      <c r="G356" s="65"/>
      <c r="H356" s="65"/>
      <c r="I356" s="65"/>
      <c r="J356" s="65"/>
      <c r="K356" s="73"/>
      <c r="L356" s="41"/>
    </row>
    <row r="357" spans="2:12" x14ac:dyDescent="0.25">
      <c r="B357" s="40"/>
      <c r="C357" s="43"/>
      <c r="D357" s="43"/>
      <c r="E357" s="43"/>
      <c r="F357" s="43"/>
      <c r="G357" s="43"/>
      <c r="H357" s="43"/>
      <c r="I357" s="43"/>
      <c r="J357" s="43"/>
      <c r="K357" s="43"/>
      <c r="L357" s="41"/>
    </row>
    <row r="358" spans="2:12" x14ac:dyDescent="0.25">
      <c r="B358" s="40"/>
      <c r="C358" s="406" t="s">
        <v>481</v>
      </c>
      <c r="D358" s="43"/>
      <c r="E358" s="43"/>
      <c r="F358" s="43"/>
      <c r="G358" s="43"/>
      <c r="H358" s="43"/>
      <c r="I358" s="43"/>
      <c r="J358" s="43"/>
      <c r="K358" s="43"/>
      <c r="L358" s="41"/>
    </row>
    <row r="359" spans="2:12" x14ac:dyDescent="0.25">
      <c r="B359" s="40"/>
      <c r="C359" s="26" t="s">
        <v>744</v>
      </c>
      <c r="D359" s="28"/>
      <c r="E359" s="28"/>
      <c r="F359" s="28"/>
      <c r="G359" s="28"/>
      <c r="H359" s="28"/>
      <c r="I359" s="28"/>
      <c r="J359" s="28"/>
      <c r="K359" s="27"/>
      <c r="L359" s="41"/>
    </row>
    <row r="360" spans="2:12" x14ac:dyDescent="0.25">
      <c r="B360" s="40"/>
      <c r="C360" s="40" t="s">
        <v>745</v>
      </c>
      <c r="D360" s="43"/>
      <c r="E360" s="43"/>
      <c r="F360" s="43"/>
      <c r="G360" s="43"/>
      <c r="H360" s="43"/>
      <c r="I360" s="43"/>
      <c r="J360" s="43"/>
      <c r="K360" s="41"/>
      <c r="L360" s="41"/>
    </row>
    <row r="361" spans="2:12" x14ac:dyDescent="0.25">
      <c r="B361" s="40"/>
      <c r="C361" s="40" t="s">
        <v>746</v>
      </c>
      <c r="D361" s="43"/>
      <c r="E361" s="43"/>
      <c r="F361" s="43"/>
      <c r="G361" s="43"/>
      <c r="H361" s="43"/>
      <c r="I361" s="43"/>
      <c r="J361" s="43"/>
      <c r="K361" s="41"/>
      <c r="L361" s="41"/>
    </row>
    <row r="362" spans="2:12" x14ac:dyDescent="0.25">
      <c r="B362" s="40"/>
      <c r="C362" s="40" t="s">
        <v>747</v>
      </c>
      <c r="D362" s="43"/>
      <c r="E362" s="43"/>
      <c r="F362" s="43"/>
      <c r="G362" s="43"/>
      <c r="H362" s="43"/>
      <c r="I362" s="43"/>
      <c r="J362" s="43"/>
      <c r="K362" s="41"/>
      <c r="L362" s="41"/>
    </row>
    <row r="363" spans="2:12" x14ac:dyDescent="0.25">
      <c r="B363" s="40"/>
      <c r="C363" s="40" t="s">
        <v>748</v>
      </c>
      <c r="D363" s="43"/>
      <c r="E363" s="43"/>
      <c r="F363" s="43"/>
      <c r="G363" s="43"/>
      <c r="H363" s="43"/>
      <c r="I363" s="43"/>
      <c r="J363" s="43"/>
      <c r="K363" s="41"/>
      <c r="L363" s="41"/>
    </row>
    <row r="364" spans="2:12" x14ac:dyDescent="0.25">
      <c r="B364" s="40"/>
      <c r="C364" s="40" t="s">
        <v>749</v>
      </c>
      <c r="D364" s="43"/>
      <c r="E364" s="43"/>
      <c r="F364" s="43"/>
      <c r="G364" s="43"/>
      <c r="H364" s="43"/>
      <c r="I364" s="43"/>
      <c r="J364" s="43"/>
      <c r="K364" s="41"/>
      <c r="L364" s="41"/>
    </row>
    <row r="365" spans="2:12" x14ac:dyDescent="0.25">
      <c r="B365" s="40"/>
      <c r="C365" s="40" t="s">
        <v>751</v>
      </c>
      <c r="D365" s="43"/>
      <c r="E365" s="43"/>
      <c r="F365" s="43"/>
      <c r="G365" s="43"/>
      <c r="H365" s="43"/>
      <c r="I365" s="43"/>
      <c r="J365" s="43"/>
      <c r="K365" s="41"/>
      <c r="L365" s="41"/>
    </row>
    <row r="366" spans="2:12" x14ac:dyDescent="0.25">
      <c r="B366" s="40"/>
      <c r="C366" s="40"/>
      <c r="D366" s="43"/>
      <c r="E366" s="43"/>
      <c r="F366" s="43"/>
      <c r="G366" s="43"/>
      <c r="H366" s="43"/>
      <c r="I366" s="43"/>
      <c r="J366" s="43"/>
      <c r="K366" s="41"/>
      <c r="L366" s="41"/>
    </row>
    <row r="367" spans="2:12" x14ac:dyDescent="0.25">
      <c r="B367" s="40"/>
      <c r="C367" s="40" t="s">
        <v>750</v>
      </c>
      <c r="D367" s="43"/>
      <c r="E367" s="43"/>
      <c r="F367" s="43"/>
      <c r="G367" s="43"/>
      <c r="H367" s="43"/>
      <c r="I367" s="43"/>
      <c r="J367" s="43"/>
      <c r="K367" s="41"/>
      <c r="L367" s="41"/>
    </row>
    <row r="368" spans="2:12" x14ac:dyDescent="0.25">
      <c r="B368" s="40"/>
      <c r="C368" s="40" t="s">
        <v>752</v>
      </c>
      <c r="D368" s="43"/>
      <c r="E368" s="43"/>
      <c r="F368" s="43"/>
      <c r="G368" s="43"/>
      <c r="H368" s="43"/>
      <c r="I368" s="43"/>
      <c r="J368" s="43"/>
      <c r="K368" s="41"/>
      <c r="L368" s="41"/>
    </row>
    <row r="369" spans="2:12" x14ac:dyDescent="0.25">
      <c r="B369" s="40"/>
      <c r="C369" s="40"/>
      <c r="D369" s="43"/>
      <c r="E369" s="43"/>
      <c r="F369" s="43"/>
      <c r="G369" s="43"/>
      <c r="H369" s="43"/>
      <c r="I369" s="43"/>
      <c r="J369" s="43"/>
      <c r="K369" s="41"/>
      <c r="L369" s="41"/>
    </row>
    <row r="370" spans="2:12" x14ac:dyDescent="0.25">
      <c r="B370" s="40"/>
      <c r="C370" s="40" t="s">
        <v>753</v>
      </c>
      <c r="D370" s="43"/>
      <c r="E370" s="43"/>
      <c r="F370" s="43"/>
      <c r="G370" s="43"/>
      <c r="H370" s="43"/>
      <c r="I370" s="43"/>
      <c r="J370" s="43"/>
      <c r="K370" s="41"/>
      <c r="L370" s="41"/>
    </row>
    <row r="371" spans="2:12" x14ac:dyDescent="0.25">
      <c r="B371" s="40"/>
      <c r="C371" s="40" t="s">
        <v>806</v>
      </c>
      <c r="D371" s="43"/>
      <c r="E371" s="43"/>
      <c r="F371" s="43"/>
      <c r="G371" s="43"/>
      <c r="H371" s="43"/>
      <c r="I371" s="43"/>
      <c r="J371" s="43"/>
      <c r="K371" s="41"/>
      <c r="L371" s="41"/>
    </row>
    <row r="372" spans="2:12" x14ac:dyDescent="0.25">
      <c r="B372" s="40"/>
      <c r="C372" s="72"/>
      <c r="D372" s="65"/>
      <c r="E372" s="65"/>
      <c r="F372" s="65"/>
      <c r="G372" s="65"/>
      <c r="H372" s="65"/>
      <c r="I372" s="65"/>
      <c r="J372" s="65"/>
      <c r="K372" s="73"/>
      <c r="L372" s="41"/>
    </row>
    <row r="373" spans="2:12" x14ac:dyDescent="0.25">
      <c r="B373" s="40"/>
      <c r="C373" s="43"/>
      <c r="D373" s="43"/>
      <c r="E373" s="43"/>
      <c r="F373" s="43"/>
      <c r="G373" s="43"/>
      <c r="H373" s="43"/>
      <c r="I373" s="43"/>
      <c r="J373" s="43"/>
      <c r="K373" s="43"/>
      <c r="L373" s="41"/>
    </row>
    <row r="374" spans="2:12" x14ac:dyDescent="0.25">
      <c r="B374" s="40"/>
      <c r="C374" s="406" t="s">
        <v>482</v>
      </c>
      <c r="D374" s="43"/>
      <c r="E374" s="43"/>
      <c r="F374" s="43"/>
      <c r="G374" s="43"/>
      <c r="H374" s="43"/>
      <c r="I374" s="43"/>
      <c r="J374" s="43"/>
      <c r="K374" s="43"/>
      <c r="L374" s="41"/>
    </row>
    <row r="375" spans="2:12" x14ac:dyDescent="0.25">
      <c r="B375" s="40"/>
      <c r="C375" s="26" t="s">
        <v>754</v>
      </c>
      <c r="D375" s="28"/>
      <c r="E375" s="28"/>
      <c r="F375" s="28"/>
      <c r="G375" s="28"/>
      <c r="H375" s="28"/>
      <c r="I375" s="28"/>
      <c r="J375" s="28"/>
      <c r="K375" s="27"/>
      <c r="L375" s="41"/>
    </row>
    <row r="376" spans="2:12" x14ac:dyDescent="0.25">
      <c r="B376" s="40"/>
      <c r="C376" s="40" t="s">
        <v>807</v>
      </c>
      <c r="D376" s="43"/>
      <c r="E376" s="43"/>
      <c r="F376" s="43"/>
      <c r="G376" s="43"/>
      <c r="H376" s="43"/>
      <c r="I376" s="43"/>
      <c r="J376" s="43"/>
      <c r="K376" s="41"/>
      <c r="L376" s="41"/>
    </row>
    <row r="377" spans="2:12" x14ac:dyDescent="0.25">
      <c r="B377" s="40"/>
      <c r="C377" s="40" t="s">
        <v>825</v>
      </c>
      <c r="D377" s="43"/>
      <c r="E377" s="43"/>
      <c r="F377" s="43"/>
      <c r="G377" s="43"/>
      <c r="H377" s="43"/>
      <c r="I377" s="43"/>
      <c r="J377" s="43"/>
      <c r="K377" s="41"/>
      <c r="L377" s="41"/>
    </row>
    <row r="378" spans="2:12" x14ac:dyDescent="0.25">
      <c r="B378" s="40"/>
      <c r="C378" s="40" t="s">
        <v>808</v>
      </c>
      <c r="D378" s="43"/>
      <c r="E378" s="43"/>
      <c r="F378" s="43"/>
      <c r="G378" s="43"/>
      <c r="H378" s="43"/>
      <c r="I378" s="43"/>
      <c r="J378" s="43"/>
      <c r="K378" s="41"/>
      <c r="L378" s="41"/>
    </row>
    <row r="379" spans="2:12" x14ac:dyDescent="0.25">
      <c r="B379" s="40"/>
      <c r="C379" s="40" t="s">
        <v>755</v>
      </c>
      <c r="D379" s="43"/>
      <c r="E379" s="43"/>
      <c r="F379" s="43"/>
      <c r="G379" s="43"/>
      <c r="H379" s="43"/>
      <c r="I379" s="43"/>
      <c r="J379" s="43"/>
      <c r="K379" s="41"/>
      <c r="L379" s="41"/>
    </row>
    <row r="380" spans="2:12" x14ac:dyDescent="0.25">
      <c r="B380" s="40"/>
      <c r="C380" s="40" t="s">
        <v>826</v>
      </c>
      <c r="D380" s="43"/>
      <c r="E380" s="43"/>
      <c r="F380" s="43"/>
      <c r="G380" s="43"/>
      <c r="H380" s="43"/>
      <c r="I380" s="43"/>
      <c r="J380" s="43"/>
      <c r="K380" s="41"/>
      <c r="L380" s="41"/>
    </row>
    <row r="381" spans="2:12" x14ac:dyDescent="0.25">
      <c r="B381" s="40"/>
      <c r="C381" s="40" t="s">
        <v>756</v>
      </c>
      <c r="D381" s="43"/>
      <c r="E381" s="43"/>
      <c r="F381" s="43"/>
      <c r="G381" s="43"/>
      <c r="H381" s="43"/>
      <c r="I381" s="43"/>
      <c r="J381" s="43"/>
      <c r="K381" s="41"/>
      <c r="L381" s="41"/>
    </row>
    <row r="382" spans="2:12" x14ac:dyDescent="0.25">
      <c r="B382" s="40"/>
      <c r="C382" s="40" t="s">
        <v>809</v>
      </c>
      <c r="D382" s="43"/>
      <c r="E382" s="43"/>
      <c r="F382" s="43"/>
      <c r="G382" s="43"/>
      <c r="H382" s="43"/>
      <c r="I382" s="43"/>
      <c r="J382" s="43"/>
      <c r="K382" s="41"/>
      <c r="L382" s="41"/>
    </row>
    <row r="383" spans="2:12" x14ac:dyDescent="0.25">
      <c r="B383" s="40"/>
      <c r="C383" s="72"/>
      <c r="D383" s="65"/>
      <c r="E383" s="65"/>
      <c r="F383" s="65"/>
      <c r="G383" s="65"/>
      <c r="H383" s="65"/>
      <c r="I383" s="65"/>
      <c r="J383" s="65"/>
      <c r="K383" s="73"/>
      <c r="L383" s="41"/>
    </row>
    <row r="384" spans="2:12" x14ac:dyDescent="0.25">
      <c r="B384" s="40"/>
      <c r="C384" s="43"/>
      <c r="D384" s="43"/>
      <c r="E384" s="43"/>
      <c r="F384" s="43"/>
      <c r="G384" s="43"/>
      <c r="H384" s="43"/>
      <c r="I384" s="43"/>
      <c r="J384" s="43"/>
      <c r="K384" s="43"/>
      <c r="L384" s="41"/>
    </row>
    <row r="385" spans="2:12" x14ac:dyDescent="0.25">
      <c r="B385" s="40"/>
      <c r="C385" s="406" t="s">
        <v>483</v>
      </c>
      <c r="D385" s="43"/>
      <c r="E385" s="43"/>
      <c r="F385" s="43"/>
      <c r="G385" s="43"/>
      <c r="H385" s="43"/>
      <c r="I385" s="43"/>
      <c r="J385" s="43"/>
      <c r="K385" s="43"/>
      <c r="L385" s="41"/>
    </row>
    <row r="386" spans="2:12" x14ac:dyDescent="0.25">
      <c r="B386" s="40"/>
      <c r="C386" s="26" t="s">
        <v>758</v>
      </c>
      <c r="D386" s="28"/>
      <c r="E386" s="28"/>
      <c r="F386" s="28"/>
      <c r="G386" s="28"/>
      <c r="H386" s="28"/>
      <c r="I386" s="28"/>
      <c r="J386" s="28"/>
      <c r="K386" s="27"/>
      <c r="L386" s="41"/>
    </row>
    <row r="387" spans="2:12" x14ac:dyDescent="0.25">
      <c r="B387" s="40"/>
      <c r="C387" s="40" t="s">
        <v>759</v>
      </c>
      <c r="D387" s="43"/>
      <c r="E387" s="43"/>
      <c r="F387" s="43"/>
      <c r="G387" s="43"/>
      <c r="H387" s="43"/>
      <c r="I387" s="43"/>
      <c r="J387" s="43"/>
      <c r="K387" s="41"/>
      <c r="L387" s="41"/>
    </row>
    <row r="388" spans="2:12" x14ac:dyDescent="0.25">
      <c r="B388" s="40"/>
      <c r="C388" s="40" t="s">
        <v>827</v>
      </c>
      <c r="D388" s="43"/>
      <c r="E388" s="43"/>
      <c r="F388" s="43"/>
      <c r="G388" s="43"/>
      <c r="H388" s="43"/>
      <c r="I388" s="43"/>
      <c r="J388" s="43"/>
      <c r="K388" s="41"/>
      <c r="L388" s="41"/>
    </row>
    <row r="389" spans="2:12" x14ac:dyDescent="0.25">
      <c r="B389" s="40"/>
      <c r="C389" s="40" t="s">
        <v>760</v>
      </c>
      <c r="D389" s="43"/>
      <c r="E389" s="43"/>
      <c r="F389" s="43"/>
      <c r="G389" s="43"/>
      <c r="H389" s="43"/>
      <c r="I389" s="43"/>
      <c r="J389" s="43"/>
      <c r="K389" s="41"/>
      <c r="L389" s="41"/>
    </row>
    <row r="390" spans="2:12" x14ac:dyDescent="0.25">
      <c r="B390" s="40"/>
      <c r="C390" s="40" t="s">
        <v>811</v>
      </c>
      <c r="D390" s="43"/>
      <c r="E390" s="43"/>
      <c r="F390" s="43"/>
      <c r="G390" s="43"/>
      <c r="H390" s="43"/>
      <c r="I390" s="43"/>
      <c r="J390" s="43"/>
      <c r="K390" s="41"/>
      <c r="L390" s="41"/>
    </row>
    <row r="391" spans="2:12" x14ac:dyDescent="0.25">
      <c r="B391" s="40"/>
      <c r="C391" s="40" t="s">
        <v>810</v>
      </c>
      <c r="D391" s="43"/>
      <c r="E391" s="43"/>
      <c r="F391" s="43"/>
      <c r="G391" s="43"/>
      <c r="H391" s="43"/>
      <c r="I391" s="43"/>
      <c r="J391" s="43"/>
      <c r="K391" s="41"/>
      <c r="L391" s="41"/>
    </row>
    <row r="392" spans="2:12" x14ac:dyDescent="0.25">
      <c r="B392" s="40"/>
      <c r="C392" s="40" t="s">
        <v>812</v>
      </c>
      <c r="D392" s="43"/>
      <c r="E392" s="43"/>
      <c r="F392" s="43"/>
      <c r="G392" s="43"/>
      <c r="H392" s="43"/>
      <c r="I392" s="43"/>
      <c r="J392" s="43"/>
      <c r="K392" s="41"/>
      <c r="L392" s="41"/>
    </row>
    <row r="393" spans="2:12" x14ac:dyDescent="0.25">
      <c r="B393" s="40"/>
      <c r="C393" s="40" t="s">
        <v>813</v>
      </c>
      <c r="D393" s="43"/>
      <c r="E393" s="43"/>
      <c r="F393" s="43"/>
      <c r="G393" s="43"/>
      <c r="H393" s="43"/>
      <c r="I393" s="43"/>
      <c r="J393" s="43"/>
      <c r="K393" s="41"/>
      <c r="L393" s="41"/>
    </row>
    <row r="394" spans="2:12" x14ac:dyDescent="0.25">
      <c r="B394" s="40"/>
      <c r="C394" s="40" t="s">
        <v>814</v>
      </c>
      <c r="D394" s="43"/>
      <c r="E394" s="43"/>
      <c r="F394" s="43"/>
      <c r="G394" s="43"/>
      <c r="H394" s="43"/>
      <c r="I394" s="43"/>
      <c r="J394" s="43"/>
      <c r="K394" s="41"/>
      <c r="L394" s="41"/>
    </row>
    <row r="395" spans="2:12" x14ac:dyDescent="0.25">
      <c r="B395" s="40"/>
      <c r="C395" s="40" t="s">
        <v>828</v>
      </c>
      <c r="D395" s="43"/>
      <c r="E395" s="43"/>
      <c r="F395" s="43"/>
      <c r="G395" s="43"/>
      <c r="H395" s="43"/>
      <c r="I395" s="43"/>
      <c r="J395" s="43"/>
      <c r="K395" s="41"/>
      <c r="L395" s="41"/>
    </row>
    <row r="396" spans="2:12" x14ac:dyDescent="0.25">
      <c r="B396" s="40"/>
      <c r="C396" s="40" t="s">
        <v>815</v>
      </c>
      <c r="D396" s="43"/>
      <c r="E396" s="43"/>
      <c r="F396" s="43"/>
      <c r="G396" s="43"/>
      <c r="H396" s="43"/>
      <c r="I396" s="43"/>
      <c r="J396" s="43"/>
      <c r="K396" s="41"/>
      <c r="L396" s="41"/>
    </row>
    <row r="397" spans="2:12" x14ac:dyDescent="0.25">
      <c r="B397" s="40"/>
      <c r="C397" s="40" t="s">
        <v>829</v>
      </c>
      <c r="D397" s="43"/>
      <c r="E397" s="43"/>
      <c r="F397" s="43"/>
      <c r="G397" s="43"/>
      <c r="H397" s="43"/>
      <c r="I397" s="43"/>
      <c r="J397" s="43"/>
      <c r="K397" s="41"/>
      <c r="L397" s="41"/>
    </row>
    <row r="398" spans="2:12" x14ac:dyDescent="0.25">
      <c r="B398" s="40"/>
      <c r="C398" s="40" t="s">
        <v>816</v>
      </c>
      <c r="D398" s="43"/>
      <c r="E398" s="43"/>
      <c r="F398" s="43"/>
      <c r="G398" s="43"/>
      <c r="H398" s="43"/>
      <c r="I398" s="43"/>
      <c r="J398" s="43"/>
      <c r="K398" s="41"/>
      <c r="L398" s="41"/>
    </row>
    <row r="399" spans="2:12" x14ac:dyDescent="0.25">
      <c r="B399" s="40"/>
      <c r="C399" s="72"/>
      <c r="D399" s="65"/>
      <c r="E399" s="65"/>
      <c r="F399" s="65"/>
      <c r="G399" s="65"/>
      <c r="H399" s="65"/>
      <c r="I399" s="65"/>
      <c r="J399" s="65"/>
      <c r="K399" s="73"/>
      <c r="L399" s="41"/>
    </row>
    <row r="400" spans="2:12" x14ac:dyDescent="0.25">
      <c r="B400" s="40"/>
      <c r="C400" s="43"/>
      <c r="D400" s="43"/>
      <c r="E400" s="43"/>
      <c r="F400" s="43"/>
      <c r="G400" s="43"/>
      <c r="H400" s="43"/>
      <c r="I400" s="43"/>
      <c r="J400" s="43"/>
      <c r="K400" s="43"/>
      <c r="L400" s="41"/>
    </row>
    <row r="401" spans="2:12" x14ac:dyDescent="0.25">
      <c r="B401" s="40"/>
      <c r="C401" s="43"/>
      <c r="D401" s="43"/>
      <c r="E401" s="43"/>
      <c r="F401" s="43"/>
      <c r="G401" s="43"/>
      <c r="H401" s="43"/>
      <c r="I401" s="43"/>
      <c r="J401" s="43"/>
      <c r="K401" s="43"/>
      <c r="L401" s="41"/>
    </row>
    <row r="402" spans="2:12" x14ac:dyDescent="0.25">
      <c r="B402" s="40"/>
      <c r="C402" s="43"/>
      <c r="D402" s="43"/>
      <c r="E402" s="43"/>
      <c r="F402" s="43"/>
      <c r="G402" s="43"/>
      <c r="H402" s="43"/>
      <c r="I402" s="43"/>
      <c r="J402" s="43"/>
      <c r="K402" s="43"/>
      <c r="L402" s="41"/>
    </row>
    <row r="403" spans="2:12" x14ac:dyDescent="0.25">
      <c r="B403" s="40"/>
      <c r="C403" s="43"/>
      <c r="D403" s="43"/>
      <c r="E403" s="43"/>
      <c r="F403" s="43"/>
      <c r="G403" s="43"/>
      <c r="H403" s="43"/>
      <c r="I403" s="43"/>
      <c r="J403" s="43"/>
      <c r="K403" s="43"/>
      <c r="L403" s="41"/>
    </row>
    <row r="404" spans="2:12" x14ac:dyDescent="0.25">
      <c r="B404" s="40"/>
      <c r="C404" s="43"/>
      <c r="D404" s="43"/>
      <c r="E404" s="43"/>
      <c r="F404" s="43"/>
      <c r="G404" s="43"/>
      <c r="H404" s="43"/>
      <c r="I404" s="43"/>
      <c r="J404" s="43"/>
      <c r="K404" s="43"/>
      <c r="L404" s="41"/>
    </row>
    <row r="405" spans="2:12" x14ac:dyDescent="0.25">
      <c r="B405" s="72"/>
      <c r="C405" s="65"/>
      <c r="D405" s="65"/>
      <c r="E405" s="65"/>
      <c r="F405" s="65"/>
      <c r="G405" s="65"/>
      <c r="H405" s="65"/>
      <c r="I405" s="65"/>
      <c r="J405" s="65"/>
      <c r="K405" s="65"/>
      <c r="L405" s="73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2017-10-04T18:07:55Z</dcterms:modified>
</cp:coreProperties>
</file>